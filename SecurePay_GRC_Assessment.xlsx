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VAISHAK\Downloads\"/>
    </mc:Choice>
  </mc:AlternateContent>
  <xr:revisionPtr revIDLastSave="0" documentId="13_ncr:1_{A07B3AF5-FB04-4FFB-9832-B0A3142BB6AF}" xr6:coauthVersionLast="47" xr6:coauthVersionMax="47" xr10:uidLastSave="{00000000-0000-0000-0000-000000000000}"/>
  <bookViews>
    <workbookView xWindow="-110" yWindow="-110" windowWidth="19420" windowHeight="11500" tabRatio="500" activeTab="1" xr2:uid="{00000000-000D-0000-FFFF-FFFF00000000}"/>
  </bookViews>
  <sheets>
    <sheet name="Dashboard" sheetId="1" r:id="rId1"/>
    <sheet name="Company Profile" sheetId="2" r:id="rId2"/>
    <sheet name="Asset Inventory" sheetId="3" r:id="rId3"/>
    <sheet name="Risk Register" sheetId="4" r:id="rId4"/>
    <sheet name="Control Inventory" sheetId="5" r:id="rId5"/>
    <sheet name="Risk-Control Mapping" sheetId="6" r:id="rId6"/>
    <sheet name="ISO 27001 Gap Assessment" sheetId="7" r:id="rId7"/>
    <sheet name="Remediation Plan" sheetId="8" r:id="rId8"/>
    <sheet name="Evidence Register" sheetId="9" r:id="rId9"/>
    <sheet name="Risk Matrix" sheetId="10" r:id="rId10"/>
  </sheets>
  <definedNames>
    <definedName name="_xlnm._FilterDatabase" localSheetId="2" hidden="1">'Asset Inventory'!$A$4:$I$14</definedName>
    <definedName name="_xlnm._FilterDatabase" localSheetId="4" hidden="1">'Control Inventory'!$A$4:$G$19</definedName>
    <definedName name="_xlnm._FilterDatabase" localSheetId="8" hidden="1">'Evidence Register'!$A$4:$G$19</definedName>
    <definedName name="_xlnm._FilterDatabase" localSheetId="6" hidden="1">'ISO 27001 Gap Assessment'!$A$4:$G$16</definedName>
    <definedName name="_xlnm._FilterDatabase" localSheetId="7" hidden="1">'Remediation Plan'!$A$4:$H$14</definedName>
    <definedName name="_xlnm._FilterDatabase" localSheetId="3" hidden="1">'Risk Register'!$A$4:$N$19</definedName>
    <definedName name="_xlnm._FilterDatabase" localSheetId="5" hidden="1">'Risk-Control Mapping'!$A$4:$E$32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19" i="4" l="1"/>
  <c r="J19" i="4" s="1"/>
  <c r="I18" i="4"/>
  <c r="J18" i="4" s="1"/>
  <c r="J17" i="4"/>
  <c r="D71" i="1" s="1"/>
  <c r="I17" i="4"/>
  <c r="I16" i="4"/>
  <c r="J16" i="4" s="1"/>
  <c r="I15" i="4"/>
  <c r="J15" i="4" s="1"/>
  <c r="I14" i="4"/>
  <c r="J14" i="4" s="1"/>
  <c r="D68" i="1" s="1"/>
  <c r="I13" i="4"/>
  <c r="J13" i="4" s="1"/>
  <c r="I12" i="4"/>
  <c r="J12" i="4" s="1"/>
  <c r="I11" i="4"/>
  <c r="J11" i="4" s="1"/>
  <c r="I10" i="4"/>
  <c r="J10" i="4" s="1"/>
  <c r="I9" i="4"/>
  <c r="J9" i="4" s="1"/>
  <c r="D70" i="1" s="1"/>
  <c r="I8" i="4"/>
  <c r="J8" i="4" s="1"/>
  <c r="D69" i="1" s="1"/>
  <c r="I7" i="4"/>
  <c r="J7" i="4" s="1"/>
  <c r="I6" i="4"/>
  <c r="J6" i="4" s="1"/>
  <c r="I5" i="4"/>
  <c r="J5" i="4" s="1"/>
  <c r="D184" i="1"/>
  <c r="I64" i="1" s="1"/>
  <c r="B182" i="1"/>
  <c r="B181" i="1"/>
  <c r="B180" i="1"/>
  <c r="B175" i="1"/>
  <c r="B174" i="1"/>
  <c r="B173" i="1"/>
  <c r="B172" i="1"/>
  <c r="B167" i="1"/>
  <c r="B166" i="1"/>
  <c r="B165" i="1"/>
  <c r="B160" i="1"/>
  <c r="B159" i="1"/>
  <c r="B158" i="1"/>
  <c r="B153" i="1"/>
  <c r="B152" i="1"/>
  <c r="B151" i="1"/>
  <c r="B150" i="1"/>
  <c r="B149" i="1"/>
  <c r="B148" i="1"/>
  <c r="B147" i="1"/>
  <c r="B146" i="1"/>
  <c r="B145" i="1"/>
  <c r="B144" i="1"/>
  <c r="E71" i="1"/>
  <c r="C71" i="1"/>
  <c r="B71" i="1"/>
  <c r="E70" i="1"/>
  <c r="C70" i="1"/>
  <c r="B70" i="1"/>
  <c r="E69" i="1"/>
  <c r="C69" i="1"/>
  <c r="B69" i="1"/>
  <c r="E68" i="1"/>
  <c r="C68" i="1"/>
  <c r="B68" i="1"/>
  <c r="E67" i="1"/>
  <c r="C67" i="1"/>
  <c r="B67" i="1"/>
  <c r="K7" i="1"/>
  <c r="I7" i="1"/>
  <c r="G7" i="1"/>
  <c r="A7" i="1"/>
  <c r="B137" i="1" l="1"/>
  <c r="E7" i="1"/>
  <c r="D67" i="1"/>
  <c r="B138" i="1"/>
  <c r="C7" i="1"/>
  <c r="B136" i="1"/>
  <c r="B139" i="1"/>
</calcChain>
</file>

<file path=xl/sharedStrings.xml><?xml version="1.0" encoding="utf-8"?>
<sst xmlns="http://schemas.openxmlformats.org/spreadsheetml/2006/main" count="1260" uniqueCount="704">
  <si>
    <t>SECUREPAY SOLUTIONS PVT. LTD.</t>
  </si>
  <si>
    <t>GRC RISK &amp; COMPLIANCE DASHBOARD</t>
  </si>
  <si>
    <t>Framework: ISO/IEC 27001   |   Assessment Type: Simulated GRC Assessment   |   Assessment Period: September 2026</t>
  </si>
  <si>
    <t>Purpose: Management-level overview of cybersecurity risks, control effectiveness, compliance gaps, and remediation activities.</t>
  </si>
  <si>
    <t>TOTAL RISKS</t>
  </si>
  <si>
    <t>CRITICAL RISKS</t>
  </si>
  <si>
    <t>HIGH RISKS</t>
  </si>
  <si>
    <t>IMPLEMENTED CONTROLS</t>
  </si>
  <si>
    <t>PARTIALLY IMPLEMENTED</t>
  </si>
  <si>
    <t>OPEN REMEDIATIONS</t>
  </si>
  <si>
    <t>RISK &amp; CONTROL OVERVIEW (CHARTS)</t>
  </si>
  <si>
    <t>COMPLIANCE OVERVIEW</t>
  </si>
  <si>
    <t>Implemented Control Coverage (project metric — not an official ISO 27001 compliance percentage):</t>
  </si>
  <si>
    <t>TOP 5 RISKS REQUIRING ATTENTION</t>
  </si>
  <si>
    <t>Risk ID</t>
  </si>
  <si>
    <t>Risk</t>
  </si>
  <si>
    <t>Score</t>
  </si>
  <si>
    <t>Rating</t>
  </si>
  <si>
    <t>Treatment</t>
  </si>
  <si>
    <t>RSK-001</t>
  </si>
  <si>
    <t>RSK-010</t>
  </si>
  <si>
    <t>RSK-004</t>
  </si>
  <si>
    <t>RSK-005</t>
  </si>
  <si>
    <t>RSK-013</t>
  </si>
  <si>
    <t>MANAGEMENT SUMMARY</t>
  </si>
  <si>
    <t>15 cybersecurity risks were identified across SecurePay's technology environment. Two risks were classified as Critical and thirteen as High based on the likelihood x impact methodology. Key areas requiring attention include identity and access management, vulnerability management, cloud security, endpoint protection, and security monitoring.
Several controls are currently only partially implemented. Priority remediation actions include organization-wide MFA implementation, formal vulnerability management, periodic access reviews, improved security monitoring, incident response testing, and endpoint encryption.</t>
  </si>
  <si>
    <t>SUPPORTING CALCULATIONS (Auto-Generated From Other Sheets)</t>
  </si>
  <si>
    <t>These values are calculated with formulas referencing the Risk Register, Control Inventory, ISO 27001 Gap Assessment, and Remediation Plan sheets.</t>
  </si>
  <si>
    <t>Risk Rating Distribution</t>
  </si>
  <si>
    <t>Risk Rating</t>
  </si>
  <si>
    <t>Count</t>
  </si>
  <si>
    <t>Critical</t>
  </si>
  <si>
    <t>High</t>
  </si>
  <si>
    <t>Medium</t>
  </si>
  <si>
    <t>Low</t>
  </si>
  <si>
    <t>Risk Category Distribution</t>
  </si>
  <si>
    <t>Category</t>
  </si>
  <si>
    <t>Number of Risks</t>
  </si>
  <si>
    <t>Access Control</t>
  </si>
  <si>
    <t>Application Security</t>
  </si>
  <si>
    <t>Cloud Security</t>
  </si>
  <si>
    <t>Endpoint Security</t>
  </si>
  <si>
    <t>Data Security</t>
  </si>
  <si>
    <t>Business Continuity</t>
  </si>
  <si>
    <t>Availability</t>
  </si>
  <si>
    <t>Network Security</t>
  </si>
  <si>
    <t>Vulnerability Management</t>
  </si>
  <si>
    <t>Incident Management</t>
  </si>
  <si>
    <t>Control Implementation Status</t>
  </si>
  <si>
    <t>Control Status</t>
  </si>
  <si>
    <t>Implemented</t>
  </si>
  <si>
    <t>Partially Implemented</t>
  </si>
  <si>
    <t>Not Implemented</t>
  </si>
  <si>
    <t>Remediation Status</t>
  </si>
  <si>
    <t>Status</t>
  </si>
  <si>
    <t>Open</t>
  </si>
  <si>
    <t>In Progress</t>
  </si>
  <si>
    <t>Closed</t>
  </si>
  <si>
    <t>Risk Treatment Summary</t>
  </si>
  <si>
    <t>Number</t>
  </si>
  <si>
    <t>Mitigate</t>
  </si>
  <si>
    <t>Avoid</t>
  </si>
  <si>
    <t>Transfer</t>
  </si>
  <si>
    <t>Accept</t>
  </si>
  <si>
    <t>ISO 27001 Gap Assessment — Status Overview</t>
  </si>
  <si>
    <t>Implemented Control Coverage (internal project metric, not an official ISO 27001 compliance %):</t>
  </si>
  <si>
    <t>Company &amp; GRC Assessment Profile</t>
  </si>
  <si>
    <t>1. ORGANIZATION OVERVIEW</t>
  </si>
  <si>
    <t>Company Name</t>
  </si>
  <si>
    <t>SecurePay Solutions Pvt. Ltd.</t>
  </si>
  <si>
    <t>Organization Type</t>
  </si>
  <si>
    <t>Private Limited Company</t>
  </si>
  <si>
    <t>Industry</t>
  </si>
  <si>
    <t>Financial Technology (FinTech) / Online Payments</t>
  </si>
  <si>
    <t>Headquarters</t>
  </si>
  <si>
    <t>Bengaluru, Karnataka, India</t>
  </si>
  <si>
    <t>Year Established</t>
  </si>
  <si>
    <t>2021</t>
  </si>
  <si>
    <t>Number of Employees</t>
  </si>
  <si>
    <t>50</t>
  </si>
  <si>
    <t>Business Model</t>
  </si>
  <si>
    <t>B2C and B2B Digital Payment Services</t>
  </si>
  <si>
    <t>Assessment Type</t>
  </si>
  <si>
    <t>Internal GRC Risk &amp; Compliance Assessment</t>
  </si>
  <si>
    <t>Assessment Status</t>
  </si>
  <si>
    <t>Simulated / Portfolio Project</t>
  </si>
  <si>
    <t>Assessment Period</t>
  </si>
  <si>
    <t>September 2026</t>
  </si>
  <si>
    <t>Primary Framework</t>
  </si>
  <si>
    <t>ISO/IEC 27001</t>
  </si>
  <si>
    <t>Supporting Framework</t>
  </si>
  <si>
    <t>NIST Cybersecurity Framework</t>
  </si>
  <si>
    <t>Assessment Owner</t>
  </si>
  <si>
    <t>GRC Analyst</t>
  </si>
  <si>
    <t>Information Classification</t>
  </si>
  <si>
    <t>Internal</t>
  </si>
  <si>
    <t>2. BUSINESS DESCRIPTION</t>
  </si>
  <si>
    <t>SecurePay Solutions Pvt. Ltd. is a fictional FinTech organization that provides digital payment services through a customer-facing web application and supporting cloud infrastructure. The platform allows customers and business users to create accounts, manage payment information, initiate transactions, view transaction histories, and receive payment notifications.</t>
  </si>
  <si>
    <t>The organization relies heavily on information technology and cloud infrastructure to deliver its services. Because the company handles sensitive customer and transaction-related information, maintaining confidentiality, integrity, and availability is considered a key business requirement.</t>
  </si>
  <si>
    <t>3. ORGANIZATIONAL STRUCTURE</t>
  </si>
  <si>
    <t>For the purpose of this assessment, SecurePay has approximately 50 employees.</t>
  </si>
  <si>
    <t>Department</t>
  </si>
  <si>
    <t>Approx. Employees</t>
  </si>
  <si>
    <t>Primary Responsibility</t>
  </si>
  <si>
    <t>Executive Management</t>
  </si>
  <si>
    <t>3</t>
  </si>
  <si>
    <t>Business strategy &amp; governance</t>
  </si>
  <si>
    <t>Information Security</t>
  </si>
  <si>
    <t>5</t>
  </si>
  <si>
    <t>Security, risk &amp; compliance</t>
  </si>
  <si>
    <t>IT Infrastructure</t>
  </si>
  <si>
    <t>6</t>
  </si>
  <si>
    <t>Systems, networks &amp; endpoints</t>
  </si>
  <si>
    <t>Software Development</t>
  </si>
  <si>
    <t>12</t>
  </si>
  <si>
    <t>Application development &amp; maintenance</t>
  </si>
  <si>
    <t>Operations</t>
  </si>
  <si>
    <t>8</t>
  </si>
  <si>
    <t>Platform &amp; business operations</t>
  </si>
  <si>
    <t>Customer Support</t>
  </si>
  <si>
    <t>Customer assistance</t>
  </si>
  <si>
    <t>Finance</t>
  </si>
  <si>
    <t>Financial operations</t>
  </si>
  <si>
    <t>Human Resources</t>
  </si>
  <si>
    <t>Employee management</t>
  </si>
  <si>
    <t>Total</t>
  </si>
  <si>
    <t>4. KEY BUSINESS FUNCTIONS</t>
  </si>
  <si>
    <t>•  Customer Account Management — Creation and management of customer accounts and profiles.</t>
  </si>
  <si>
    <t>•  Payment Processing — Processing and managing digital payment transactions through the platform.</t>
  </si>
  <si>
    <t>•  Transaction Management — Maintaining transaction records and providing customers with transaction history.</t>
  </si>
  <si>
    <t>•  Application Development — Developing, testing, deploying, and maintaining the SecurePay platform.</t>
  </si>
  <si>
    <t>•  IT Infrastructure Management — Managing cloud infrastructure, networks, endpoints, and supporting systems.</t>
  </si>
  <si>
    <t>•  Security Operations — Monitoring security events, managing vulnerabilities, responding to incidents, and maintaining security controls.</t>
  </si>
  <si>
    <t>•  Customer Support — Handling customer queries, account-related requests, and payment issues.</t>
  </si>
  <si>
    <t>•  Financial Operations — Managing financial reconciliation, reporting, and business transactions.</t>
  </si>
  <si>
    <t>5. TECHNOLOGY ENVIRONMENT</t>
  </si>
  <si>
    <t>SecurePay operates a primarily cloud-based technology environment.</t>
  </si>
  <si>
    <t>Technology</t>
  </si>
  <si>
    <t>Purpose</t>
  </si>
  <si>
    <t>Cloud Infrastructure</t>
  </si>
  <si>
    <t>Hosts applications and databases</t>
  </si>
  <si>
    <t>Web Application</t>
  </si>
  <si>
    <t>Customer-facing payment platform</t>
  </si>
  <si>
    <t>Customer Database</t>
  </si>
  <si>
    <t>Stores customer and transaction information</t>
  </si>
  <si>
    <t>Source Code Repository</t>
  </si>
  <si>
    <t>Stores application source code</t>
  </si>
  <si>
    <t>Corporate Email</t>
  </si>
  <si>
    <t>Internal communication</t>
  </si>
  <si>
    <t>VPN</t>
  </si>
  <si>
    <t>Secure remote access</t>
  </si>
  <si>
    <t>Firewall</t>
  </si>
  <si>
    <t>Network traffic filtering</t>
  </si>
  <si>
    <t>Endpoint Protection</t>
  </si>
  <si>
    <t>Malware and endpoint security</t>
  </si>
  <si>
    <t>Backup Infrastructure</t>
  </si>
  <si>
    <t>Data and system recovery</t>
  </si>
  <si>
    <t>IAM Platform</t>
  </si>
  <si>
    <t>User authentication and authorization</t>
  </si>
  <si>
    <t>Logging &amp; Monitoring</t>
  </si>
  <si>
    <t>Security and operational monitoring</t>
  </si>
  <si>
    <t>6. INFORMATION ASSETS</t>
  </si>
  <si>
    <t>The organization handles several categories of information.</t>
  </si>
  <si>
    <t>Information Type</t>
  </si>
  <si>
    <t>Classification</t>
  </si>
  <si>
    <t>Examples</t>
  </si>
  <si>
    <t>Customer Information</t>
  </si>
  <si>
    <t>Confidential</t>
  </si>
  <si>
    <t>Customer account information</t>
  </si>
  <si>
    <t>Transaction Information</t>
  </si>
  <si>
    <t>Payment and transaction records</t>
  </si>
  <si>
    <t>Employee Information</t>
  </si>
  <si>
    <t>Employee records</t>
  </si>
  <si>
    <t>Source Code</t>
  </si>
  <si>
    <t>Application source code</t>
  </si>
  <si>
    <t>Security Logs</t>
  </si>
  <si>
    <t>Authentication and security events</t>
  </si>
  <si>
    <t>Financial Reports</t>
  </si>
  <si>
    <t>Financial and reconciliation information</t>
  </si>
  <si>
    <t>Public Information</t>
  </si>
  <si>
    <t>Public</t>
  </si>
  <si>
    <t>Marketing and general company information</t>
  </si>
  <si>
    <t>7. CRITICAL BUSINESS ASSETS</t>
  </si>
  <si>
    <t>The following assets are considered critical to business operations:</t>
  </si>
  <si>
    <t>•  Customer Database</t>
  </si>
  <si>
    <t>•  Web Application</t>
  </si>
  <si>
    <t>•  Cloud Infrastructure</t>
  </si>
  <si>
    <t>•  Employee Accounts</t>
  </si>
  <si>
    <t>•  Backup Infrastructure</t>
  </si>
  <si>
    <t>•  Source Code Repository</t>
  </si>
  <si>
    <t>•  Corporate Email</t>
  </si>
  <si>
    <t>•  Firewall</t>
  </si>
  <si>
    <t>•  VPN</t>
  </si>
  <si>
    <t>•  Employee Laptops</t>
  </si>
  <si>
    <t>These assets will be examined further during the Asset Inventory and Risk Assessment phases.</t>
  </si>
  <si>
    <t>8. BUSINESS IMPACT</t>
  </si>
  <si>
    <t>A security incident affecting SecurePay could result in:</t>
  </si>
  <si>
    <t>Financial Impact</t>
  </si>
  <si>
    <t>•  Transaction losses</t>
  </si>
  <si>
    <t>•  Recovery costs</t>
  </si>
  <si>
    <t>•  Regulatory penalties</t>
  </si>
  <si>
    <t>•  Incident response expenses</t>
  </si>
  <si>
    <t>Operational Impact</t>
  </si>
  <si>
    <t>•  Payment service disruption</t>
  </si>
  <si>
    <t>•  System downtime</t>
  </si>
  <si>
    <t>•  Loss of employee productivity</t>
  </si>
  <si>
    <t>Reputational Impact</t>
  </si>
  <si>
    <t>•  Loss of customer trust</t>
  </si>
  <si>
    <t>•  Negative publicity</t>
  </si>
  <si>
    <t>•  Customer attrition</t>
  </si>
  <si>
    <t>Compliance Impact</t>
  </si>
  <si>
    <t>•  Failure to meet contractual or regulatory requirements</t>
  </si>
  <si>
    <t>•  Audit findings</t>
  </si>
  <si>
    <t>•  Increased compliance costs</t>
  </si>
  <si>
    <t>Security Impact</t>
  </si>
  <si>
    <t>•  Unauthorized access</t>
  </si>
  <si>
    <t>•  Data exposure</t>
  </si>
  <si>
    <t>•  Account compromise</t>
  </si>
  <si>
    <t>•  Fraudulent transactions</t>
  </si>
  <si>
    <t>9. SECURITY OBJECTIVES</t>
  </si>
  <si>
    <t>SecurePay's security program is designed around three core objectives:</t>
  </si>
  <si>
    <t>Confidentiality</t>
  </si>
  <si>
    <t>Ensure sensitive customer, employee, financial, and business information is accessible only to authorized individuals.</t>
  </si>
  <si>
    <t>Integrity</t>
  </si>
  <si>
    <t>Ensure customer, transaction, and business data cannot be modified or manipulated without authorization.</t>
  </si>
  <si>
    <t>Ensure critical payment services and supporting infrastructure remain available to customers and employees.</t>
  </si>
  <si>
    <t>10. EXISTING SECURITY CONTROLS</t>
  </si>
  <si>
    <t>For this simulated assessment, SecurePay is assumed to have the following controls:</t>
  </si>
  <si>
    <t>Control</t>
  </si>
  <si>
    <t>Current State</t>
  </si>
  <si>
    <t>Multi-Factor Authentication</t>
  </si>
  <si>
    <t>Role-Based Access Control</t>
  </si>
  <si>
    <t>Security Awareness Training</t>
  </si>
  <si>
    <t>Data Backup</t>
  </si>
  <si>
    <t>Incident Response Plan</t>
  </si>
  <si>
    <t>Access Reviews</t>
  </si>
  <si>
    <t>These assumptions will later be validated against identified risks and used during the ISO 27001 gap assessment.</t>
  </si>
  <si>
    <t>11. GRC ASSESSMENT SCOPE</t>
  </si>
  <si>
    <t>In Scope</t>
  </si>
  <si>
    <t>•  Customer-facing web application</t>
  </si>
  <si>
    <t>•  Cloud infrastructure</t>
  </si>
  <si>
    <t>•  Customer database</t>
  </si>
  <si>
    <t>•  Employee endpoints</t>
  </si>
  <si>
    <t>•  Employee accounts</t>
  </si>
  <si>
    <t>•  Corporate email</t>
  </si>
  <si>
    <t>•  Backup systems</t>
  </si>
  <si>
    <t>•  Source code repository</t>
  </si>
  <si>
    <t>•  Access management</t>
  </si>
  <si>
    <t>•  Vulnerability management</t>
  </si>
  <si>
    <t>•  Incident management</t>
  </si>
  <si>
    <t>•  Security awareness</t>
  </si>
  <si>
    <t>Out of Scope</t>
  </si>
  <si>
    <t>•  Physical data center security</t>
  </si>
  <si>
    <t>•  Detailed financial auditing</t>
  </si>
  <si>
    <t>•  Third-party payment processor assessments</t>
  </si>
  <si>
    <t>•  Penetration testing</t>
  </si>
  <si>
    <t>•  Actual customer data</t>
  </si>
  <si>
    <t>•  Actual production infrastructure</t>
  </si>
  <si>
    <t>•  Legal/regulatory certification</t>
  </si>
  <si>
    <t>12. ASSESSMENT OBJECTIVES</t>
  </si>
  <si>
    <t>The purpose of the assessment is to:</t>
  </si>
  <si>
    <t>•  1. Identify critical organizational assets.</t>
  </si>
  <si>
    <t>•  2. Identify cybersecurity threats and vulnerabilities.</t>
  </si>
  <si>
    <t>•  3. Assess inherent cybersecurity risks.</t>
  </si>
  <si>
    <t>•  4. Calculate risk based on likelihood and impact.</t>
  </si>
  <si>
    <t>•  5. Identify existing security controls.</t>
  </si>
  <si>
    <t>•  6. Map risks to relevant controls.</t>
  </si>
  <si>
    <t>•  7. Perform an ISO 27001-based gap assessment.</t>
  </si>
  <si>
    <t>•  8. Identify control weaknesses.</t>
  </si>
  <si>
    <t>•  9. Develop remediation recommendations.</t>
  </si>
  <si>
    <t>•  10. Prioritize remediation activities based on risk.</t>
  </si>
  <si>
    <t>•  11. Provide management with a high-level view of the organization's security posture.</t>
  </si>
  <si>
    <t>13. RISK ASSESSMENT METHODOLOGY</t>
  </si>
  <si>
    <t>SecurePay uses a 5x5 risk assessment methodology.</t>
  </si>
  <si>
    <t>Likelihood</t>
  </si>
  <si>
    <t>Definition</t>
  </si>
  <si>
    <t>1</t>
  </si>
  <si>
    <t>Rare</t>
  </si>
  <si>
    <t>2</t>
  </si>
  <si>
    <t>Unlikely</t>
  </si>
  <si>
    <t>Possible</t>
  </si>
  <si>
    <t>4</t>
  </si>
  <si>
    <t>Likely</t>
  </si>
  <si>
    <t>Almost Certain</t>
  </si>
  <si>
    <t>Impact</t>
  </si>
  <si>
    <t>Insignificant</t>
  </si>
  <si>
    <t>Minor</t>
  </si>
  <si>
    <t>Moderate</t>
  </si>
  <si>
    <t>Major</t>
  </si>
  <si>
    <t>Severe</t>
  </si>
  <si>
    <t>Risk Formula</t>
  </si>
  <si>
    <t>Risk Score = Likelihood x Impact</t>
  </si>
  <si>
    <t>Risk Classification</t>
  </si>
  <si>
    <t>1-4</t>
  </si>
  <si>
    <t>5-9</t>
  </si>
  <si>
    <t>10-16</t>
  </si>
  <si>
    <t>17-25</t>
  </si>
  <si>
    <t>14. RISK TREATMENT APPROACH</t>
  </si>
  <si>
    <t>Identified risks will be handled using four treatment options:</t>
  </si>
  <si>
    <t>Implement additional controls to reduce likelihood or impact.</t>
  </si>
  <si>
    <t>Eliminate the activity or condition causing the risk.</t>
  </si>
  <si>
    <t>Transfer part of the financial or operational impact to another party.</t>
  </si>
  <si>
    <t>Formally accept the risk when it falls within the organization's defined risk tolerance.</t>
  </si>
  <si>
    <t>15. COMPLIANCE &amp; GOVERNANCE</t>
  </si>
  <si>
    <t>The assessment uses ISO/IEC 27001 as its primary reference framework.</t>
  </si>
  <si>
    <t>The assessment focuses on areas including:</t>
  </si>
  <si>
    <t>•  Information security policies</t>
  </si>
  <si>
    <t>•  Asset management</t>
  </si>
  <si>
    <t>•  Access control</t>
  </si>
  <si>
    <t>•  Authentication</t>
  </si>
  <si>
    <t>•  Backup and recovery</t>
  </si>
  <si>
    <t>•  Logging and monitoring</t>
  </si>
  <si>
    <t>•  Business continuity</t>
  </si>
  <si>
    <t>•  Supplier/third-party considerations</t>
  </si>
  <si>
    <t>Important: This project is a simulated ISO 27001-based assessment. It does not represent an actual ISO 27001 certification or audit.</t>
  </si>
  <si>
    <t>16. ASSESSMENT DELIVERABLES</t>
  </si>
  <si>
    <t>Deliverable</t>
  </si>
  <si>
    <t>Asset Inventory</t>
  </si>
  <si>
    <t>Identify and classify organizational assets</t>
  </si>
  <si>
    <t>Risk Register</t>
  </si>
  <si>
    <t>Document and prioritize cybersecurity risks</t>
  </si>
  <si>
    <t>Control Inventory</t>
  </si>
  <si>
    <t>Document existing security controls</t>
  </si>
  <si>
    <t>Risk-Control Mapping</t>
  </si>
  <si>
    <t>Connect risks with relevant controls</t>
  </si>
  <si>
    <t>ISO 27001 Gap Assessment</t>
  </si>
  <si>
    <t>Identify compliance/control gaps</t>
  </si>
  <si>
    <t>Remediation Plan</t>
  </si>
  <si>
    <t>Track recommended corrective actions</t>
  </si>
  <si>
    <t>Evidence Register</t>
  </si>
  <si>
    <t>Track supporting assessment evidence</t>
  </si>
  <si>
    <t>Risk Matrix</t>
  </si>
  <si>
    <t>Visualize risk severity</t>
  </si>
  <si>
    <t>GRC Dashboard</t>
  </si>
  <si>
    <t>Provide management-level overview</t>
  </si>
  <si>
    <t>17. PROJECT DISCLAIMER</t>
  </si>
  <si>
    <t>Disclaimer: SecurePay Solutions Pvt. Ltd. is a fictional organization created solely for educational and portfolio purposes. All organizational information, assets, risks, controls, evidence, and assessment results used in this project are simulated. This assessment does not constitute an official ISO/IEC 27001 audit, certification, compliance attestation, or professional security assessment.</t>
  </si>
  <si>
    <t>SECUREPAY SOLUTIONS — ASSET INVENTORY</t>
  </si>
  <si>
    <t>Simulated cybersecurity asset inventory for portfolio purposes.</t>
  </si>
  <si>
    <t>Asset ID</t>
  </si>
  <si>
    <t>Asset Name</t>
  </si>
  <si>
    <t>Asset Type</t>
  </si>
  <si>
    <t>Description</t>
  </si>
  <si>
    <t>Owner</t>
  </si>
  <si>
    <t>Criticality</t>
  </si>
  <si>
    <t>AST-001</t>
  </si>
  <si>
    <t>Data</t>
  </si>
  <si>
    <t>Stores customer account and transaction information</t>
  </si>
  <si>
    <t>Database Admin</t>
  </si>
  <si>
    <t>AST-002</t>
  </si>
  <si>
    <t>Application</t>
  </si>
  <si>
    <t>Customer-facing online payment platform</t>
  </si>
  <si>
    <t>Application Owner</t>
  </si>
  <si>
    <t>AST-003</t>
  </si>
  <si>
    <t>Infrastructure</t>
  </si>
  <si>
    <t>Cloud servers and resources hosting applications</t>
  </si>
  <si>
    <t>Cloud Admin</t>
  </si>
  <si>
    <t>AST-004</t>
  </si>
  <si>
    <t>Employee Laptops</t>
  </si>
  <si>
    <t>Endpoint</t>
  </si>
  <si>
    <t>Company-issued devices used by employees</t>
  </si>
  <si>
    <t>IT Admin</t>
  </si>
  <si>
    <t>AST-005</t>
  </si>
  <si>
    <t>SaaS</t>
  </si>
  <si>
    <t>Email communication and business correspondence</t>
  </si>
  <si>
    <t>AST-006</t>
  </si>
  <si>
    <t>Employee Accounts</t>
  </si>
  <si>
    <t>Identity</t>
  </si>
  <si>
    <t>User identities used to access company resources</t>
  </si>
  <si>
    <t>IAM Admin</t>
  </si>
  <si>
    <t>AST-007</t>
  </si>
  <si>
    <t>Backup System</t>
  </si>
  <si>
    <t>Stores backups of critical systems and data</t>
  </si>
  <si>
    <t>AST-008</t>
  </si>
  <si>
    <t>Network</t>
  </si>
  <si>
    <t>Filters and controls inbound/outbound traffic</t>
  </si>
  <si>
    <t>Network Admin</t>
  </si>
  <si>
    <t>AST-009</t>
  </si>
  <si>
    <t>Provides secure remote access to internal resources</t>
  </si>
  <si>
    <t>AST-010</t>
  </si>
  <si>
    <t>Application/Data</t>
  </si>
  <si>
    <t>Stores application source code and development assets</t>
  </si>
  <si>
    <t>Development Lead</t>
  </si>
  <si>
    <t>SECUREPAY SOLUTIONS — RISK REGISTER</t>
  </si>
  <si>
    <t>Simulated cybersecurity risk assessment for portfolio purposes.</t>
  </si>
  <si>
    <t>Asset</t>
  </si>
  <si>
    <t>Risk Description</t>
  </si>
  <si>
    <t>Threat</t>
  </si>
  <si>
    <t>Vulnerability</t>
  </si>
  <si>
    <t>Risk Score</t>
  </si>
  <si>
    <t>Existing Control</t>
  </si>
  <si>
    <t>Phishing could compromise employee credentials and allow unauthorized system access</t>
  </si>
  <si>
    <t>Phishing</t>
  </si>
  <si>
    <t>Incomplete MFA coverage</t>
  </si>
  <si>
    <t>MFA, Security Training</t>
  </si>
  <si>
    <t>RSK-002</t>
  </si>
  <si>
    <t>SQL injection could allow unauthorized database access</t>
  </si>
  <si>
    <t>SQL Injection</t>
  </si>
  <si>
    <t>Insufficient input validation</t>
  </si>
  <si>
    <t>Secure Coding, Vulnerability Scanning</t>
  </si>
  <si>
    <t>App Owner</t>
  </si>
  <si>
    <t>RSK-003</t>
  </si>
  <si>
    <t>Cloud misconfiguration could expose sensitive resources</t>
  </si>
  <si>
    <t>Misconfiguration</t>
  </si>
  <si>
    <t>Excessive permissions</t>
  </si>
  <si>
    <t>RBAC, Logging</t>
  </si>
  <si>
    <t>Ransomware could encrypt business data and disrupt operations</t>
  </si>
  <si>
    <t>Ransomware</t>
  </si>
  <si>
    <t>Inadequate endpoint controls</t>
  </si>
  <si>
    <t>Endpoint Protection, Backup</t>
  </si>
  <si>
    <t>Weak passwords could allow unauthorized account access</t>
  </si>
  <si>
    <t>Credential Attack</t>
  </si>
  <si>
    <t>Weak password practices</t>
  </si>
  <si>
    <t>Password Policy</t>
  </si>
  <si>
    <t>RSK-006</t>
  </si>
  <si>
    <t>Insider misuse could expose confidential customer information</t>
  </si>
  <si>
    <t>Insider Threat</t>
  </si>
  <si>
    <t>Excessive access privileges</t>
  </si>
  <si>
    <t>RBAC, Access Reviews</t>
  </si>
  <si>
    <t>RSK-007</t>
  </si>
  <si>
    <t>Backup failure could prevent recovery after data loss</t>
  </si>
  <si>
    <t>System Failure</t>
  </si>
  <si>
    <t>Inadequate recovery testing</t>
  </si>
  <si>
    <t>RSK-008</t>
  </si>
  <si>
    <t>DDoS attack could disrupt payment services</t>
  </si>
  <si>
    <t>DDoS</t>
  </si>
  <si>
    <t>Limited traffic protection</t>
  </si>
  <si>
    <t>RSK-009</t>
  </si>
  <si>
    <t>Lost or stolen laptop could expose company information</t>
  </si>
  <si>
    <t>Device Loss</t>
  </si>
  <si>
    <t>Insufficient device encryption</t>
  </si>
  <si>
    <t>Unpatched systems could be exploited by attackers</t>
  </si>
  <si>
    <t>Exploitation</t>
  </si>
  <si>
    <t>Delayed patching</t>
  </si>
  <si>
    <t>RSK-011</t>
  </si>
  <si>
    <t>Excessive privileges could enable unauthorized access</t>
  </si>
  <si>
    <t>Privilege Abuse</t>
  </si>
  <si>
    <t>Poor access review</t>
  </si>
  <si>
    <t>RBAC</t>
  </si>
  <si>
    <t>RSK-012</t>
  </si>
  <si>
    <t>Repository compromise could expose source code and credentials</t>
  </si>
  <si>
    <t>Account Compromise</t>
  </si>
  <si>
    <t>Weak repository access controls</t>
  </si>
  <si>
    <t>Email account compromise could enable phishing and data theft</t>
  </si>
  <si>
    <t>Credential Theft</t>
  </si>
  <si>
    <t>Limited MFA coverage</t>
  </si>
  <si>
    <t>MFA, Email Filtering</t>
  </si>
  <si>
    <t>RSK-014</t>
  </si>
  <si>
    <t>Firewall misconfiguration could expose internal services</t>
  </si>
  <si>
    <t>Configuration errors</t>
  </si>
  <si>
    <t>Firewall Rules</t>
  </si>
  <si>
    <t>RSK-015</t>
  </si>
  <si>
    <t>Security Monitoring</t>
  </si>
  <si>
    <t>Delayed detection could increase the impact of a security incident</t>
  </si>
  <si>
    <t>Cyberattack</t>
  </si>
  <si>
    <t>Incomplete monitoring</t>
  </si>
  <si>
    <t>Security Team</t>
  </si>
  <si>
    <t>SECUREPAY SOLUTIONS — CONTROL INVENTORY</t>
  </si>
  <si>
    <t>Simulated security control inventory for portfolio purposes.</t>
  </si>
  <si>
    <t>Control ID</t>
  </si>
  <si>
    <t>Control Name</t>
  </si>
  <si>
    <t>Control Type</t>
  </si>
  <si>
    <t>Frequency</t>
  </si>
  <si>
    <t>CTRL-001</t>
  </si>
  <si>
    <t>Preventive</t>
  </si>
  <si>
    <t>Requires additional authentication factor for user access</t>
  </si>
  <si>
    <t>Continuous</t>
  </si>
  <si>
    <t>CTRL-002</t>
  </si>
  <si>
    <t>Provides access based on defined user roles</t>
  </si>
  <si>
    <t>CTRL-003</t>
  </si>
  <si>
    <t>Preventive/Detective</t>
  </si>
  <si>
    <t>Protects endpoints from malware and malicious activity</t>
  </si>
  <si>
    <t>CTRL-004</t>
  </si>
  <si>
    <t>Educates employees about security threats</t>
  </si>
  <si>
    <t>Annual</t>
  </si>
  <si>
    <t>CTRL-005</t>
  </si>
  <si>
    <t>Identifies and manages system vulnerabilities</t>
  </si>
  <si>
    <t>Monthly</t>
  </si>
  <si>
    <t>CTRL-006</t>
  </si>
  <si>
    <t>Corrective</t>
  </si>
  <si>
    <t>Enables recovery of critical data following data loss</t>
  </si>
  <si>
    <t>Daily</t>
  </si>
  <si>
    <t>CTRL-007</t>
  </si>
  <si>
    <t>Controls network traffic between trusted and untrusted networks</t>
  </si>
  <si>
    <t>CTRL-008</t>
  </si>
  <si>
    <t>Detective</t>
  </si>
  <si>
    <t>Collects and monitors security events</t>
  </si>
  <si>
    <t>CTRL-009</t>
  </si>
  <si>
    <t>Defines procedures for responding to security incidents</t>
  </si>
  <si>
    <t>Annual Review</t>
  </si>
  <si>
    <t>CTRL-010</t>
  </si>
  <si>
    <t>Periodically reviews user permissions</t>
  </si>
  <si>
    <t>Quarterly</t>
  </si>
  <si>
    <t>CTRL-011</t>
  </si>
  <si>
    <t>Defines password complexity and management requirements</t>
  </si>
  <si>
    <t>CTRL-012</t>
  </si>
  <si>
    <t>Secure Coding Practices</t>
  </si>
  <si>
    <t>Reduces application vulnerabilities during development</t>
  </si>
  <si>
    <t>Per Release</t>
  </si>
  <si>
    <t>CTRL-013</t>
  </si>
  <si>
    <t>Email Security</t>
  </si>
  <si>
    <t>Filters malicious email and suspicious attachments</t>
  </si>
  <si>
    <t>CTRL-014</t>
  </si>
  <si>
    <t>Device Encryption</t>
  </si>
  <si>
    <t>Protects information stored on lost or stolen devices</t>
  </si>
  <si>
    <t>CTRL-015</t>
  </si>
  <si>
    <t>Change Management</t>
  </si>
  <si>
    <t>Ensures changes are reviewed and authorized</t>
  </si>
  <si>
    <t>IT Manager</t>
  </si>
  <si>
    <t>Per Change</t>
  </si>
  <si>
    <t>SECUREPAY SOLUTIONS — RISK-CONTROL MAPPING</t>
  </si>
  <si>
    <t>Mapping of identified risks to the controls that mitigate them.</t>
  </si>
  <si>
    <t>Phishing/account compromise</t>
  </si>
  <si>
    <t>MFA</t>
  </si>
  <si>
    <t>Cloud Misconfiguration</t>
  </si>
  <si>
    <t>Weak Passwords</t>
  </si>
  <si>
    <t>Backup Failure</t>
  </si>
  <si>
    <t>Lost Laptop</t>
  </si>
  <si>
    <t>Unpatched Systems</t>
  </si>
  <si>
    <t>Excessive Privileges</t>
  </si>
  <si>
    <t>Source Code Compromise</t>
  </si>
  <si>
    <t>Email Compromise</t>
  </si>
  <si>
    <t>Firewall Misconfiguration</t>
  </si>
  <si>
    <t>Delayed Detection</t>
  </si>
  <si>
    <t>SECUREPAY SOLUTIONS — ISO 27001 GAP ASSESSMENT</t>
  </si>
  <si>
    <t>Simulated ISO/IEC 27001-based gap assessment for portfolio purposes (not an official certification audit).</t>
  </si>
  <si>
    <t>ID</t>
  </si>
  <si>
    <t>Control Area</t>
  </si>
  <si>
    <t>Requirement / Objective</t>
  </si>
  <si>
    <t>Current Status</t>
  </si>
  <si>
    <t>Gap Identified</t>
  </si>
  <si>
    <t>Recommendation</t>
  </si>
  <si>
    <t>Priority</t>
  </si>
  <si>
    <t>GAP-001</t>
  </si>
  <si>
    <t>Information Security Policies</t>
  </si>
  <si>
    <t>Maintain documented security policies</t>
  </si>
  <si>
    <t>Minor documentation improvements required</t>
  </si>
  <si>
    <t>Review policies annually</t>
  </si>
  <si>
    <t>GAP-002</t>
  </si>
  <si>
    <t>Asset Management</t>
  </si>
  <si>
    <t>Maintain an inventory of information assets</t>
  </si>
  <si>
    <t>Review frequency needs formalization</t>
  </si>
  <si>
    <t>Perform quarterly asset reviews</t>
  </si>
  <si>
    <t>GAP-003</t>
  </si>
  <si>
    <t>Restrict access based on business requirements</t>
  </si>
  <si>
    <t>Some excessive privileges identified</t>
  </si>
  <si>
    <t>Implement quarterly access reviews</t>
  </si>
  <si>
    <t>GAP-004</t>
  </si>
  <si>
    <t>Authentication</t>
  </si>
  <si>
    <t>Use appropriate authentication mechanisms</t>
  </si>
  <si>
    <t>MFA not enabled for all users</t>
  </si>
  <si>
    <t>Implement MFA organization-wide</t>
  </si>
  <si>
    <t>GAP-005</t>
  </si>
  <si>
    <t>Security Awareness</t>
  </si>
  <si>
    <t>Provide security awareness training</t>
  </si>
  <si>
    <t>Training not consistently documented</t>
  </si>
  <si>
    <t>Conduct and track annual training</t>
  </si>
  <si>
    <t>GAP-006</t>
  </si>
  <si>
    <t>Identify and address technical vulnerabilities</t>
  </si>
  <si>
    <t>Vulnerability scanning process needs formalization</t>
  </si>
  <si>
    <t>Establish monthly scanning and remediation SLAs</t>
  </si>
  <si>
    <t>GAP-007</t>
  </si>
  <si>
    <t>Monitor relevant security events</t>
  </si>
  <si>
    <t>Centralized monitoring is limited</t>
  </si>
  <si>
    <t>Improve centralized logging and alerting</t>
  </si>
  <si>
    <t>GAP-008</t>
  </si>
  <si>
    <t>Establish incident response processes</t>
  </si>
  <si>
    <t>Incident response plan has not been tested</t>
  </si>
  <si>
    <t>Conduct tabletop exercises</t>
  </si>
  <si>
    <t>GAP-009</t>
  </si>
  <si>
    <t>Backup &amp; Recovery</t>
  </si>
  <si>
    <t>Maintain appropriate backup capabilities</t>
  </si>
  <si>
    <t>Recovery testing requires stronger documentation</t>
  </si>
  <si>
    <t>Perform periodic restore testing</t>
  </si>
  <si>
    <t>GAP-010</t>
  </si>
  <si>
    <t>Secure Development</t>
  </si>
  <si>
    <t>Integrate security into development</t>
  </si>
  <si>
    <t>Secure coding practices inconsistently documented</t>
  </si>
  <si>
    <t>Establish secure SDLC requirements</t>
  </si>
  <si>
    <t>GAP-011</t>
  </si>
  <si>
    <t>Device Security</t>
  </si>
  <si>
    <t>Protect organizational endpoint devices</t>
  </si>
  <si>
    <t>Encryption coverage incomplete</t>
  </si>
  <si>
    <t>Enable encryption on all corporate laptops</t>
  </si>
  <si>
    <t>GAP-012</t>
  </si>
  <si>
    <t>Manage system changes appropriately</t>
  </si>
  <si>
    <t>Process exists but evidence retention can improve</t>
  </si>
  <si>
    <t>Maintain change approval records</t>
  </si>
  <si>
    <t>SECUREPAY SOLUTIONS — REMEDIATION PLAN</t>
  </si>
  <si>
    <t>Remediation actions tracked against identified risks and compliance gaps.</t>
  </si>
  <si>
    <t>Finding ID</t>
  </si>
  <si>
    <t>Risk/Gap ID</t>
  </si>
  <si>
    <t>Finding</t>
  </si>
  <si>
    <t>Recommended Action</t>
  </si>
  <si>
    <t>Target</t>
  </si>
  <si>
    <t>REM-001</t>
  </si>
  <si>
    <t>MFA coverage incomplete</t>
  </si>
  <si>
    <t>Enable MFA for all employee and privileged accounts</t>
  </si>
  <si>
    <t>IAM Team</t>
  </si>
  <si>
    <t>30 Days</t>
  </si>
  <si>
    <t>REM-002</t>
  </si>
  <si>
    <t>Access reviews incomplete</t>
  </si>
  <si>
    <t>Conduct quarterly user access reviews</t>
  </si>
  <si>
    <t>REM-003</t>
  </si>
  <si>
    <t>Vulnerability management process needs formalization</t>
  </si>
  <si>
    <t>Establish monthly vulnerability scanning and remediation SLAs</t>
  </si>
  <si>
    <t>REM-004</t>
  </si>
  <si>
    <t>Limited centralized monitoring</t>
  </si>
  <si>
    <t>60 Days</t>
  </si>
  <si>
    <t>REM-005</t>
  </si>
  <si>
    <t>Incident response not tested</t>
  </si>
  <si>
    <t>Conduct an incident response tabletop exercise</t>
  </si>
  <si>
    <t>REM-006</t>
  </si>
  <si>
    <t>Secure SDLC documentation incomplete</t>
  </si>
  <si>
    <t>Establish secure coding and security testing requirements</t>
  </si>
  <si>
    <t>REM-007</t>
  </si>
  <si>
    <t>Device encryption incomplete</t>
  </si>
  <si>
    <t>Enable encryption across corporate laptops</t>
  </si>
  <si>
    <t>IT Team</t>
  </si>
  <si>
    <t>45 Days</t>
  </si>
  <si>
    <t>REM-008</t>
  </si>
  <si>
    <t>Recovery testing documentation incomplete</t>
  </si>
  <si>
    <t>Conduct and document backup restoration tests</t>
  </si>
  <si>
    <t>REM-009</t>
  </si>
  <si>
    <t>Awareness training inconsistent</t>
  </si>
  <si>
    <t>Implement annual security awareness training</t>
  </si>
  <si>
    <t>HR/Security</t>
  </si>
  <si>
    <t>90 Days</t>
  </si>
  <si>
    <t>REM-010</t>
  </si>
  <si>
    <t>Asset review frequency undefined</t>
  </si>
  <si>
    <t>Establish quarterly asset inventory review</t>
  </si>
  <si>
    <t>SECUREPAY SOLUTIONS — EVIDENCE REGISTER</t>
  </si>
  <si>
    <t>Simulated audit evidence supporting control implementation (no real company documents).</t>
  </si>
  <si>
    <t>Evidence ID</t>
  </si>
  <si>
    <t>Evidence Description</t>
  </si>
  <si>
    <t>Evidence Type</t>
  </si>
  <si>
    <t>Source</t>
  </si>
  <si>
    <t>Assessment Result</t>
  </si>
  <si>
    <t>EVD-001</t>
  </si>
  <si>
    <t>MFA configuration screenshot</t>
  </si>
  <si>
    <t>Screenshot</t>
  </si>
  <si>
    <t>Simulated</t>
  </si>
  <si>
    <t>Available</t>
  </si>
  <si>
    <t>Partial</t>
  </si>
  <si>
    <t>EVD-002</t>
  </si>
  <si>
    <t>RBAC role configuration</t>
  </si>
  <si>
    <t>Configuration Record</t>
  </si>
  <si>
    <t>Satisfactory</t>
  </si>
  <si>
    <t>EVD-003</t>
  </si>
  <si>
    <t>Endpoint protection status report</t>
  </si>
  <si>
    <t>Report</t>
  </si>
  <si>
    <t>EVD-004</t>
  </si>
  <si>
    <t>Security awareness training completion record</t>
  </si>
  <si>
    <t>Training Record</t>
  </si>
  <si>
    <t>EVD-005</t>
  </si>
  <si>
    <t>Vulnerability scan report</t>
  </si>
  <si>
    <t>Security Report</t>
  </si>
  <si>
    <t>EVD-006</t>
  </si>
  <si>
    <t>Backup job report</t>
  </si>
  <si>
    <t>System Report</t>
  </si>
  <si>
    <t>EVD-007</t>
  </si>
  <si>
    <t>Firewall configuration review</t>
  </si>
  <si>
    <t>EVD-008</t>
  </si>
  <si>
    <t>Security monitoring dashboard</t>
  </si>
  <si>
    <t>EVD-009</t>
  </si>
  <si>
    <t>Incident response plan</t>
  </si>
  <si>
    <t>Policy Document</t>
  </si>
  <si>
    <t>EVD-010</t>
  </si>
  <si>
    <t>Quarterly access review</t>
  </si>
  <si>
    <t>Review Record</t>
  </si>
  <si>
    <t>Missing</t>
  </si>
  <si>
    <t>EVD-011</t>
  </si>
  <si>
    <t>Password policy document</t>
  </si>
  <si>
    <t>EVD-012</t>
  </si>
  <si>
    <t>Secure coding checklist</t>
  </si>
  <si>
    <t>Development Record</t>
  </si>
  <si>
    <t>EVD-013</t>
  </si>
  <si>
    <t>Email security configuration</t>
  </si>
  <si>
    <t>EVD-014</t>
  </si>
  <si>
    <t>Device encryption status</t>
  </si>
  <si>
    <t>EVD-015</t>
  </si>
  <si>
    <t>Change approval record</t>
  </si>
  <si>
    <t>Change Record</t>
  </si>
  <si>
    <t>SECUREPAY SOLUTIONS — RISK MATRIX</t>
  </si>
  <si>
    <t>5x5 Likelihood x Impact heat map (Risk Score = Likelihood x Impact). Shading reflects severity only, in grayscale.</t>
  </si>
  <si>
    <t>Impact ↓ / Likelihood →</t>
  </si>
  <si>
    <t>5 - Severe</t>
  </si>
  <si>
    <t>10
RSK-014</t>
  </si>
  <si>
    <t>15
RSK-002, RSK-003, RSK-006, RSK-007, RSK-012</t>
  </si>
  <si>
    <t>20
RSK-001, RSK-010</t>
  </si>
  <si>
    <t>25</t>
  </si>
  <si>
    <t>4 - Major</t>
  </si>
  <si>
    <t>12
RSK-008, RSK-009, RSK-011, RSK-015</t>
  </si>
  <si>
    <t>16
RSK-004, RSK-005, RSK-013</t>
  </si>
  <si>
    <t>3 - Moderate</t>
  </si>
  <si>
    <t>9</t>
  </si>
  <si>
    <t>2 - Minor</t>
  </si>
  <si>
    <t>1 - Insignificant</t>
  </si>
  <si>
    <t>SEVERITY LEGEND</t>
  </si>
  <si>
    <t>Critical (17-25)</t>
  </si>
  <si>
    <t>High (10-16)</t>
  </si>
  <si>
    <t>Medium (5-9)</t>
  </si>
  <si>
    <t>Low (1-4)</t>
  </si>
  <si>
    <t>Note: Cells combine the calculated Risk Score (Likelihood x Impact) with the Risk IDs from the Risk Register that fall at that score. Darker shading indicates a more severe risk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</si>
</sst>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charset val="1"/>
    </font>
    <font>
      <b/>
      <sz val="14"/>
      <color rgb="FF000000"/>
      <name val="Arial"/>
      <charset val="1"/>
    </font>
    <font>
      <b/>
      <sz val="10"/>
      <color rgb="FF000000"/>
      <name val="Arial"/>
      <charset val="1"/>
    </font>
    <font>
      <i/>
      <sz val="10"/>
      <color rgb="FF404040"/>
      <name val="Arial"/>
      <charset val="1"/>
    </font>
    <font>
      <sz val="11"/>
      <name val="Arial"/>
      <charset val="1"/>
    </font>
    <font>
      <sz val="10"/>
      <color rgb="FF000000"/>
      <name val="Arial"/>
      <charset val="1"/>
    </font>
  </fonts>
  <fills count="8">
    <fill>
      <patternFill patternType="none"/>
    </fill>
    <fill>
      <patternFill patternType="gray125"/>
    </fill>
    <fill>
      <patternFill patternType="solid">
        <fgColor rgb="FFD9D9D9"/>
        <bgColor rgb="FFEDEDED"/>
      </patternFill>
    </fill>
    <fill>
      <patternFill patternType="solid">
        <fgColor rgb="FFF2F2F2"/>
        <bgColor rgb="FFEDEDED"/>
      </patternFill>
    </fill>
    <fill>
      <patternFill patternType="solid">
        <fgColor rgb="FFFFFFFF"/>
        <bgColor rgb="FFF2F2F2"/>
      </patternFill>
    </fill>
    <fill>
      <patternFill patternType="solid">
        <fgColor rgb="FFEDEDED"/>
        <bgColor rgb="FFF2F2F2"/>
      </patternFill>
    </fill>
    <fill>
      <patternFill patternType="solid">
        <fgColor rgb="FFBFBFBF"/>
        <bgColor rgb="FFB3B3B3"/>
      </patternFill>
    </fill>
    <fill>
      <patternFill patternType="solid">
        <fgColor rgb="FFFF0000"/>
        <bgColor rgb="FFF2F2F2"/>
      </patternFill>
    </fill>
  </fills>
  <borders count="3">
    <border>
      <left/>
      <right/>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6">
    <xf numFmtId="0" fontId="0" fillId="0" borderId="0" xfId="0"/>
    <xf numFmtId="0" fontId="3" fillId="0" borderId="0" xfId="0" applyFont="1" applyAlignment="1">
      <alignment horizontal="left" vertical="center" indent="1"/>
    </xf>
    <xf numFmtId="0" fontId="1" fillId="0" borderId="0" xfId="0" applyFont="1" applyAlignment="1">
      <alignment horizontal="left" vertical="center" indent="1"/>
    </xf>
    <xf numFmtId="0" fontId="3" fillId="0" borderId="0" xfId="0" applyFont="1"/>
    <xf numFmtId="0" fontId="3" fillId="0" borderId="0" xfId="0" applyFont="1" applyAlignment="1">
      <alignment vertical="top" wrapText="1" indent="1"/>
    </xf>
    <xf numFmtId="0" fontId="5" fillId="4" borderId="1" xfId="0" applyFont="1" applyFill="1" applyBorder="1" applyAlignment="1">
      <alignment vertical="top"/>
    </xf>
    <xf numFmtId="0" fontId="3" fillId="0" borderId="0" xfId="0" applyFont="1" applyAlignment="1">
      <alignment vertical="top" wrapText="1"/>
    </xf>
    <xf numFmtId="0" fontId="2" fillId="2" borderId="1" xfId="0" applyFont="1" applyFill="1" applyBorder="1" applyAlignment="1">
      <alignment horizontal="left" vertical="center" indent="1"/>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2" fillId="2" borderId="1" xfId="0" applyFont="1" applyFill="1" applyBorder="1" applyAlignment="1">
      <alignment horizontal="center" vertical="center"/>
    </xf>
    <xf numFmtId="0" fontId="1" fillId="0" borderId="0" xfId="0" applyFont="1" applyAlignment="1">
      <alignment horizontal="center" vertical="center"/>
    </xf>
    <xf numFmtId="0" fontId="2" fillId="2" borderId="1" xfId="0" applyFont="1" applyFill="1" applyBorder="1" applyAlignment="1">
      <alignment horizontal="center" vertical="center"/>
    </xf>
    <xf numFmtId="0" fontId="4" fillId="0" borderId="0" xfId="0" applyFont="1"/>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indent="1"/>
    </xf>
    <xf numFmtId="0" fontId="5" fillId="4" borderId="1" xfId="0" applyFont="1" applyFill="1" applyBorder="1"/>
    <xf numFmtId="164" fontId="5" fillId="4" borderId="1" xfId="0" applyNumberFormat="1" applyFont="1" applyFill="1" applyBorder="1" applyAlignment="1">
      <alignment horizontal="center"/>
    </xf>
    <xf numFmtId="0" fontId="2" fillId="2" borderId="1" xfId="0" applyFont="1" applyFill="1" applyBorder="1" applyAlignment="1">
      <alignment horizontal="left" vertical="center"/>
    </xf>
    <xf numFmtId="0" fontId="5" fillId="4" borderId="1" xfId="0" applyFont="1" applyFill="1" applyBorder="1" applyAlignment="1">
      <alignment vertical="top"/>
    </xf>
    <xf numFmtId="0" fontId="5" fillId="4" borderId="1" xfId="0" applyFont="1" applyFill="1" applyBorder="1" applyAlignment="1">
      <alignment vertical="top" wrapText="1"/>
    </xf>
    <xf numFmtId="0" fontId="3" fillId="0" borderId="0" xfId="0" applyFont="1"/>
    <xf numFmtId="0" fontId="5" fillId="4" borderId="1" xfId="0" applyFont="1" applyFill="1" applyBorder="1" applyAlignment="1">
      <alignment horizontal="left" vertical="center"/>
    </xf>
    <xf numFmtId="164" fontId="5" fillId="4" borderId="1" xfId="0" applyNumberFormat="1" applyFont="1" applyFill="1" applyBorder="1"/>
    <xf numFmtId="0" fontId="2" fillId="3" borderId="1" xfId="0" applyFont="1" applyFill="1" applyBorder="1" applyAlignment="1">
      <alignment vertical="top" wrapText="1"/>
    </xf>
    <xf numFmtId="0" fontId="2" fillId="2" borderId="1" xfId="0" applyFont="1" applyFill="1" applyBorder="1" applyAlignment="1">
      <alignment horizontal="left" vertical="center" wrapText="1"/>
    </xf>
    <xf numFmtId="0" fontId="5" fillId="4" borderId="2" xfId="0" applyFont="1" applyFill="1" applyBorder="1" applyAlignment="1">
      <alignment vertical="top"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6"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4" borderId="1" xfId="0" applyFont="1" applyFill="1" applyBorder="1" applyAlignment="1">
      <alignment horizontal="center" vertical="center"/>
    </xf>
    <xf numFmtId="0" fontId="5" fillId="7" borderId="1" xfId="0" applyFont="1" applyFill="1" applyBorder="1" applyAlignment="1">
      <alignment vertical="top"/>
    </xf>
  </cellXfs>
  <cellStyles count="1">
    <cellStyle name="Normal" xfId="0" builtinId="0"/>
  </cellStyles>
  <dxfs count="23">
    <dxf>
      <font>
        <color rgb="FF000000"/>
        <name val="Arial"/>
        <charset val="1"/>
      </font>
      <fill>
        <patternFill>
          <bgColor rgb="FFFFFFFF"/>
        </patternFill>
      </fill>
    </dxf>
    <dxf>
      <font>
        <color rgb="FF000000"/>
        <name val="Arial"/>
        <charset val="1"/>
      </font>
      <fill>
        <patternFill>
          <bgColor rgb="FFD9D9D9"/>
        </patternFill>
      </fill>
    </dxf>
    <dxf>
      <font>
        <b/>
        <color rgb="FFFFFFFF"/>
        <name val="Arial"/>
        <charset val="1"/>
      </font>
      <fill>
        <patternFill>
          <bgColor rgb="FF595959"/>
        </patternFill>
      </fill>
    </dxf>
    <dxf>
      <font>
        <b/>
        <color rgb="FFFFFFFF"/>
        <name val="Arial"/>
        <charset val="1"/>
      </font>
      <fill>
        <patternFill>
          <bgColor rgb="FF262626"/>
        </patternFill>
      </fill>
    </dxf>
    <dxf>
      <font>
        <color rgb="FF000000"/>
        <name val="Arial"/>
        <charset val="1"/>
      </font>
      <fill>
        <patternFill>
          <bgColor rgb="FFFFFFFF"/>
        </patternFill>
      </fill>
    </dxf>
    <dxf>
      <font>
        <color rgb="FF000000"/>
        <name val="Arial"/>
        <charset val="1"/>
      </font>
      <fill>
        <patternFill>
          <bgColor rgb="FFD9D9D9"/>
        </patternFill>
      </fill>
    </dxf>
    <dxf>
      <font>
        <b/>
        <color rgb="FFFFFFFF"/>
        <name val="Arial"/>
        <charset val="1"/>
      </font>
      <fill>
        <patternFill>
          <bgColor rgb="FF595959"/>
        </patternFill>
      </fill>
    </dxf>
    <dxf>
      <font>
        <b/>
        <color rgb="FFFFFFFF"/>
        <name val="Arial"/>
        <charset val="1"/>
      </font>
      <fill>
        <patternFill>
          <bgColor rgb="FF262626"/>
        </patternFill>
      </fill>
    </dxf>
    <dxf>
      <font>
        <color rgb="FF000000"/>
        <name val="Arial"/>
        <charset val="1"/>
      </font>
      <fill>
        <patternFill>
          <bgColor rgb="FFFFFFFF"/>
        </patternFill>
      </fill>
    </dxf>
    <dxf>
      <font>
        <color rgb="FF000000"/>
        <name val="Arial"/>
        <charset val="1"/>
      </font>
      <fill>
        <patternFill>
          <bgColor rgb="FFD9D9D9"/>
        </patternFill>
      </fill>
    </dxf>
    <dxf>
      <font>
        <b/>
        <color rgb="FFFFFFFF"/>
        <name val="Arial"/>
        <charset val="1"/>
      </font>
      <fill>
        <patternFill>
          <bgColor rgb="FF595959"/>
        </patternFill>
      </fill>
    </dxf>
    <dxf>
      <font>
        <b/>
        <color rgb="FFFFFFFF"/>
        <name val="Arial"/>
        <charset val="1"/>
      </font>
      <fill>
        <patternFill>
          <bgColor rgb="FF262626"/>
        </patternFill>
      </fill>
    </dxf>
    <dxf>
      <font>
        <color rgb="FF000000"/>
        <name val="Arial"/>
        <charset val="1"/>
      </font>
      <fill>
        <patternFill>
          <bgColor rgb="FFFFFFFF"/>
        </patternFill>
      </fill>
    </dxf>
    <dxf>
      <font>
        <color rgb="FF000000"/>
        <name val="Arial"/>
        <charset val="1"/>
      </font>
      <fill>
        <patternFill>
          <bgColor rgb="FFD9D9D9"/>
        </patternFill>
      </fill>
    </dxf>
    <dxf>
      <font>
        <b/>
        <color rgb="FFFFFFFF"/>
        <name val="Arial"/>
        <charset val="1"/>
      </font>
      <fill>
        <patternFill>
          <bgColor rgb="FF595959"/>
        </patternFill>
      </fill>
    </dxf>
    <dxf>
      <font>
        <b/>
        <color rgb="FFFFFFFF"/>
        <name val="Arial"/>
        <charset val="1"/>
      </font>
      <fill>
        <patternFill>
          <bgColor rgb="FF262626"/>
        </patternFill>
      </fill>
    </dxf>
    <dxf>
      <font>
        <color rgb="FF000000"/>
        <name val="Arial"/>
        <charset val="1"/>
      </font>
      <fill>
        <patternFill>
          <bgColor rgb="FFFFFFFF"/>
        </patternFill>
      </fill>
    </dxf>
    <dxf>
      <font>
        <color rgb="FF000000"/>
        <name val="Arial"/>
        <charset val="1"/>
      </font>
      <fill>
        <patternFill>
          <bgColor rgb="FFD9D9D9"/>
        </patternFill>
      </fill>
    </dxf>
    <dxf>
      <font>
        <b/>
        <color rgb="FFFFFFFF"/>
        <name val="Arial"/>
        <charset val="1"/>
      </font>
      <fill>
        <patternFill>
          <bgColor rgb="FF595959"/>
        </patternFill>
      </fill>
    </dxf>
    <dxf>
      <font>
        <b/>
        <color rgb="FFFFFFFF"/>
        <name val="Arial"/>
        <charset val="1"/>
      </font>
      <fill>
        <patternFill>
          <bgColor rgb="FF262626"/>
        </patternFill>
      </fill>
    </dxf>
    <dxf>
      <font>
        <color rgb="FF000000"/>
        <name val="Arial"/>
        <charset val="1"/>
      </font>
      <fill>
        <patternFill>
          <bgColor rgb="FFD9D9D9"/>
        </patternFill>
      </fill>
    </dxf>
    <dxf>
      <font>
        <b/>
        <color rgb="FFFFFFFF"/>
        <name val="Arial"/>
        <charset val="1"/>
      </font>
      <fill>
        <patternFill>
          <bgColor rgb="FF595959"/>
        </patternFill>
      </fill>
    </dxf>
    <dxf>
      <font>
        <b/>
        <color rgb="FFFFFFFF"/>
        <name val="Arial"/>
        <charset val="1"/>
      </font>
      <fill>
        <patternFill>
          <bgColor rgb="FF26262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EDEDED"/>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B3B3B3"/>
      <rgbColor rgb="FF003366"/>
      <rgbColor rgb="FF339966"/>
      <rgbColor rgb="FF003300"/>
      <rgbColor rgb="FF404040"/>
      <rgbColor rgb="FF993300"/>
      <rgbColor rgb="FF993366"/>
      <rgbColor rgb="FF333399"/>
      <rgbColor rgb="FF26262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Risk Distribution</a:t>
            </a:r>
          </a:p>
        </c:rich>
      </c:tx>
      <c:overlay val="0"/>
      <c:spPr>
        <a:noFill/>
        <a:ln w="0">
          <a:noFill/>
        </a:ln>
      </c:spPr>
    </c:title>
    <c:autoTitleDeleted val="0"/>
    <c:plotArea>
      <c:layout/>
      <c:barChart>
        <c:barDir val="col"/>
        <c:grouping val="clustered"/>
        <c:varyColors val="0"/>
        <c:ser>
          <c:idx val="0"/>
          <c:order val="0"/>
          <c:tx>
            <c:strRef>
              <c:f>Dashboard!$B$135</c:f>
              <c:strCache>
                <c:ptCount val="1"/>
                <c:pt idx="0">
                  <c:v>Count</c:v>
                </c:pt>
              </c:strCache>
            </c:strRef>
          </c:tx>
          <c:spPr>
            <a:solidFill>
              <a:srgbClr val="595959"/>
            </a:solidFill>
            <a:ln w="0">
              <a:solidFill>
                <a:srgbClr val="595959"/>
              </a:solid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Dashboard!$A$136:$A$139</c:f>
              <c:strCache>
                <c:ptCount val="4"/>
                <c:pt idx="0">
                  <c:v>Critical</c:v>
                </c:pt>
                <c:pt idx="1">
                  <c:v>High</c:v>
                </c:pt>
                <c:pt idx="2">
                  <c:v>Medium</c:v>
                </c:pt>
                <c:pt idx="3">
                  <c:v>Low</c:v>
                </c:pt>
              </c:strCache>
            </c:strRef>
          </c:cat>
          <c:val>
            <c:numRef>
              <c:f>Dashboard!$B$136:$B$139</c:f>
              <c:numCache>
                <c:formatCode>General</c:formatCode>
                <c:ptCount val="4"/>
                <c:pt idx="0">
                  <c:v>2</c:v>
                </c:pt>
                <c:pt idx="1">
                  <c:v>13</c:v>
                </c:pt>
                <c:pt idx="2">
                  <c:v>0</c:v>
                </c:pt>
                <c:pt idx="3">
                  <c:v>0</c:v>
                </c:pt>
              </c:numCache>
            </c:numRef>
          </c:val>
          <c:extLst>
            <c:ext xmlns:c16="http://schemas.microsoft.com/office/drawing/2014/chart" uri="{C3380CC4-5D6E-409C-BE32-E72D297353CC}">
              <c16:uniqueId val="{00000000-93D4-40FD-975D-618DC2D237B5}"/>
            </c:ext>
          </c:extLst>
        </c:ser>
        <c:dLbls>
          <c:showLegendKey val="0"/>
          <c:showVal val="0"/>
          <c:showCatName val="0"/>
          <c:showSerName val="0"/>
          <c:showPercent val="0"/>
          <c:showBubbleSize val="0"/>
        </c:dLbls>
        <c:gapWidth val="60"/>
        <c:axId val="68015025"/>
        <c:axId val="74924215"/>
      </c:barChart>
      <c:catAx>
        <c:axId val="6801502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4924215"/>
        <c:crosses val="autoZero"/>
        <c:auto val="1"/>
        <c:lblAlgn val="ctr"/>
        <c:lblOffset val="100"/>
        <c:noMultiLvlLbl val="0"/>
      </c:catAx>
      <c:valAx>
        <c:axId val="74924215"/>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801502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Risks by Category</a:t>
            </a:r>
          </a:p>
        </c:rich>
      </c:tx>
      <c:overlay val="0"/>
      <c:spPr>
        <a:noFill/>
        <a:ln w="0">
          <a:noFill/>
        </a:ln>
      </c:spPr>
    </c:title>
    <c:autoTitleDeleted val="0"/>
    <c:plotArea>
      <c:layout/>
      <c:barChart>
        <c:barDir val="col"/>
        <c:grouping val="clustered"/>
        <c:varyColors val="0"/>
        <c:ser>
          <c:idx val="0"/>
          <c:order val="0"/>
          <c:tx>
            <c:strRef>
              <c:f>Dashboard!$B$143</c:f>
              <c:strCache>
                <c:ptCount val="1"/>
                <c:pt idx="0">
                  <c:v>Number of Risks</c:v>
                </c:pt>
              </c:strCache>
            </c:strRef>
          </c:tx>
          <c:spPr>
            <a:solidFill>
              <a:srgbClr val="595959"/>
            </a:solidFill>
            <a:ln w="0">
              <a:solidFill>
                <a:srgbClr val="595959"/>
              </a:solid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Dashboard!$A$144:$A$153</c:f>
              <c:strCache>
                <c:ptCount val="10"/>
                <c:pt idx="0">
                  <c:v>Access Control</c:v>
                </c:pt>
                <c:pt idx="1">
                  <c:v>Application Security</c:v>
                </c:pt>
                <c:pt idx="2">
                  <c:v>Cloud Security</c:v>
                </c:pt>
                <c:pt idx="3">
                  <c:v>Endpoint Security</c:v>
                </c:pt>
                <c:pt idx="4">
                  <c:v>Data Security</c:v>
                </c:pt>
                <c:pt idx="5">
                  <c:v>Business Continuity</c:v>
                </c:pt>
                <c:pt idx="6">
                  <c:v>Availability</c:v>
                </c:pt>
                <c:pt idx="7">
                  <c:v>Network Security</c:v>
                </c:pt>
                <c:pt idx="8">
                  <c:v>Vulnerability Management</c:v>
                </c:pt>
                <c:pt idx="9">
                  <c:v>Incident Management</c:v>
                </c:pt>
              </c:strCache>
            </c:strRef>
          </c:cat>
          <c:val>
            <c:numRef>
              <c:f>Dashboard!$B$144:$B$153</c:f>
              <c:numCache>
                <c:formatCode>General</c:formatCode>
                <c:ptCount val="10"/>
                <c:pt idx="0">
                  <c:v>4</c:v>
                </c:pt>
                <c:pt idx="1">
                  <c:v>2</c:v>
                </c:pt>
                <c:pt idx="2">
                  <c:v>1</c:v>
                </c:pt>
                <c:pt idx="3">
                  <c:v>2</c:v>
                </c:pt>
                <c:pt idx="4">
                  <c:v>1</c:v>
                </c:pt>
                <c:pt idx="5">
                  <c:v>1</c:v>
                </c:pt>
                <c:pt idx="6">
                  <c:v>1</c:v>
                </c:pt>
                <c:pt idx="7">
                  <c:v>1</c:v>
                </c:pt>
                <c:pt idx="8">
                  <c:v>1</c:v>
                </c:pt>
                <c:pt idx="9">
                  <c:v>1</c:v>
                </c:pt>
              </c:numCache>
            </c:numRef>
          </c:val>
          <c:extLst>
            <c:ext xmlns:c16="http://schemas.microsoft.com/office/drawing/2014/chart" uri="{C3380CC4-5D6E-409C-BE32-E72D297353CC}">
              <c16:uniqueId val="{00000000-9761-4F66-8AEB-A83C7A2F200A}"/>
            </c:ext>
          </c:extLst>
        </c:ser>
        <c:dLbls>
          <c:showLegendKey val="0"/>
          <c:showVal val="0"/>
          <c:showCatName val="0"/>
          <c:showSerName val="0"/>
          <c:showPercent val="0"/>
          <c:showBubbleSize val="0"/>
        </c:dLbls>
        <c:gapWidth val="60"/>
        <c:axId val="30415101"/>
        <c:axId val="47347455"/>
      </c:barChart>
      <c:catAx>
        <c:axId val="3041510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7347455"/>
        <c:crosses val="autoZero"/>
        <c:auto val="1"/>
        <c:lblAlgn val="ctr"/>
        <c:lblOffset val="100"/>
        <c:noMultiLvlLbl val="0"/>
      </c:catAx>
      <c:valAx>
        <c:axId val="47347455"/>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041510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Control Implementation Status</a:t>
            </a:r>
          </a:p>
        </c:rich>
      </c:tx>
      <c:overlay val="0"/>
      <c:spPr>
        <a:noFill/>
        <a:ln w="0">
          <a:noFill/>
        </a:ln>
      </c:spPr>
    </c:title>
    <c:autoTitleDeleted val="0"/>
    <c:plotArea>
      <c:layout/>
      <c:barChart>
        <c:barDir val="col"/>
        <c:grouping val="clustered"/>
        <c:varyColors val="0"/>
        <c:ser>
          <c:idx val="0"/>
          <c:order val="0"/>
          <c:tx>
            <c:strRef>
              <c:f>Dashboard!$B$157</c:f>
              <c:strCache>
                <c:ptCount val="1"/>
                <c:pt idx="0">
                  <c:v>Count</c:v>
                </c:pt>
              </c:strCache>
            </c:strRef>
          </c:tx>
          <c:spPr>
            <a:solidFill>
              <a:srgbClr val="595959"/>
            </a:solidFill>
            <a:ln w="0">
              <a:solidFill>
                <a:srgbClr val="595959"/>
              </a:solid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Dashboard!$A$158:$A$160</c:f>
              <c:strCache>
                <c:ptCount val="3"/>
                <c:pt idx="0">
                  <c:v>Implemented</c:v>
                </c:pt>
                <c:pt idx="1">
                  <c:v>Partially Implemented</c:v>
                </c:pt>
                <c:pt idx="2">
                  <c:v>Not Implemented</c:v>
                </c:pt>
              </c:strCache>
            </c:strRef>
          </c:cat>
          <c:val>
            <c:numRef>
              <c:f>Dashboard!$B$158:$B$160</c:f>
              <c:numCache>
                <c:formatCode>General</c:formatCode>
                <c:ptCount val="3"/>
                <c:pt idx="0">
                  <c:v>7</c:v>
                </c:pt>
                <c:pt idx="1">
                  <c:v>8</c:v>
                </c:pt>
                <c:pt idx="2">
                  <c:v>0</c:v>
                </c:pt>
              </c:numCache>
            </c:numRef>
          </c:val>
          <c:extLst>
            <c:ext xmlns:c16="http://schemas.microsoft.com/office/drawing/2014/chart" uri="{C3380CC4-5D6E-409C-BE32-E72D297353CC}">
              <c16:uniqueId val="{00000000-4705-4BEF-AE74-C3627C405247}"/>
            </c:ext>
          </c:extLst>
        </c:ser>
        <c:dLbls>
          <c:showLegendKey val="0"/>
          <c:showVal val="0"/>
          <c:showCatName val="0"/>
          <c:showSerName val="0"/>
          <c:showPercent val="0"/>
          <c:showBubbleSize val="0"/>
        </c:dLbls>
        <c:gapWidth val="60"/>
        <c:axId val="13353757"/>
        <c:axId val="29655840"/>
      </c:barChart>
      <c:catAx>
        <c:axId val="1335375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9655840"/>
        <c:crosses val="autoZero"/>
        <c:auto val="1"/>
        <c:lblAlgn val="ctr"/>
        <c:lblOffset val="100"/>
        <c:noMultiLvlLbl val="0"/>
      </c:catAx>
      <c:valAx>
        <c:axId val="29655840"/>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335375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Remediation Status</a:t>
            </a:r>
          </a:p>
        </c:rich>
      </c:tx>
      <c:overlay val="0"/>
      <c:spPr>
        <a:noFill/>
        <a:ln w="0">
          <a:noFill/>
        </a:ln>
      </c:spPr>
    </c:title>
    <c:autoTitleDeleted val="0"/>
    <c:plotArea>
      <c:layout/>
      <c:barChart>
        <c:barDir val="col"/>
        <c:grouping val="clustered"/>
        <c:varyColors val="0"/>
        <c:ser>
          <c:idx val="0"/>
          <c:order val="0"/>
          <c:tx>
            <c:strRef>
              <c:f>Dashboard!$B$164</c:f>
              <c:strCache>
                <c:ptCount val="1"/>
                <c:pt idx="0">
                  <c:v>Count</c:v>
                </c:pt>
              </c:strCache>
            </c:strRef>
          </c:tx>
          <c:spPr>
            <a:solidFill>
              <a:srgbClr val="595959"/>
            </a:solidFill>
            <a:ln w="0">
              <a:solidFill>
                <a:srgbClr val="595959"/>
              </a:solid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Dashboard!$A$165:$A$167</c:f>
              <c:strCache>
                <c:ptCount val="3"/>
                <c:pt idx="0">
                  <c:v>Open</c:v>
                </c:pt>
                <c:pt idx="1">
                  <c:v>In Progress</c:v>
                </c:pt>
                <c:pt idx="2">
                  <c:v>Closed</c:v>
                </c:pt>
              </c:strCache>
            </c:strRef>
          </c:cat>
          <c:val>
            <c:numRef>
              <c:f>Dashboard!$B$165:$B$167</c:f>
              <c:numCache>
                <c:formatCode>General</c:formatCode>
                <c:ptCount val="3"/>
                <c:pt idx="0">
                  <c:v>9</c:v>
                </c:pt>
                <c:pt idx="1">
                  <c:v>1</c:v>
                </c:pt>
                <c:pt idx="2">
                  <c:v>0</c:v>
                </c:pt>
              </c:numCache>
            </c:numRef>
          </c:val>
          <c:extLst>
            <c:ext xmlns:c16="http://schemas.microsoft.com/office/drawing/2014/chart" uri="{C3380CC4-5D6E-409C-BE32-E72D297353CC}">
              <c16:uniqueId val="{00000000-592A-4B29-B09D-C5B54300CCE1}"/>
            </c:ext>
          </c:extLst>
        </c:ser>
        <c:dLbls>
          <c:showLegendKey val="0"/>
          <c:showVal val="0"/>
          <c:showCatName val="0"/>
          <c:showSerName val="0"/>
          <c:showPercent val="0"/>
          <c:showBubbleSize val="0"/>
        </c:dLbls>
        <c:gapWidth val="60"/>
        <c:axId val="76070624"/>
        <c:axId val="84269981"/>
      </c:barChart>
      <c:catAx>
        <c:axId val="76070624"/>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4269981"/>
        <c:crosses val="autoZero"/>
        <c:auto val="1"/>
        <c:lblAlgn val="ctr"/>
        <c:lblOffset val="100"/>
        <c:noMultiLvlLbl val="0"/>
      </c:catAx>
      <c:valAx>
        <c:axId val="84269981"/>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607062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Risk Treatment Distribution</a:t>
            </a:r>
          </a:p>
        </c:rich>
      </c:tx>
      <c:overlay val="0"/>
      <c:spPr>
        <a:noFill/>
        <a:ln w="0">
          <a:noFill/>
        </a:ln>
      </c:spPr>
    </c:title>
    <c:autoTitleDeleted val="0"/>
    <c:plotArea>
      <c:layout/>
      <c:barChart>
        <c:barDir val="col"/>
        <c:grouping val="clustered"/>
        <c:varyColors val="0"/>
        <c:ser>
          <c:idx val="0"/>
          <c:order val="0"/>
          <c:tx>
            <c:strRef>
              <c:f>Dashboard!$B$171</c:f>
              <c:strCache>
                <c:ptCount val="1"/>
                <c:pt idx="0">
                  <c:v>Number</c:v>
                </c:pt>
              </c:strCache>
            </c:strRef>
          </c:tx>
          <c:spPr>
            <a:solidFill>
              <a:srgbClr val="595959"/>
            </a:solidFill>
            <a:ln w="0">
              <a:solidFill>
                <a:srgbClr val="595959"/>
              </a:solid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Dashboard!$A$172:$A$175</c:f>
              <c:strCache>
                <c:ptCount val="4"/>
                <c:pt idx="0">
                  <c:v>Mitigate</c:v>
                </c:pt>
                <c:pt idx="1">
                  <c:v>Avoid</c:v>
                </c:pt>
                <c:pt idx="2">
                  <c:v>Transfer</c:v>
                </c:pt>
                <c:pt idx="3">
                  <c:v>Accept</c:v>
                </c:pt>
              </c:strCache>
            </c:strRef>
          </c:cat>
          <c:val>
            <c:numRef>
              <c:f>Dashboard!$B$172:$B$175</c:f>
              <c:numCache>
                <c:formatCode>General</c:formatCode>
                <c:ptCount val="4"/>
                <c:pt idx="0">
                  <c:v>15</c:v>
                </c:pt>
                <c:pt idx="1">
                  <c:v>0</c:v>
                </c:pt>
                <c:pt idx="2">
                  <c:v>0</c:v>
                </c:pt>
                <c:pt idx="3">
                  <c:v>0</c:v>
                </c:pt>
              </c:numCache>
            </c:numRef>
          </c:val>
          <c:extLst>
            <c:ext xmlns:c16="http://schemas.microsoft.com/office/drawing/2014/chart" uri="{C3380CC4-5D6E-409C-BE32-E72D297353CC}">
              <c16:uniqueId val="{00000000-4BB8-4E8B-A287-1FD894C545A0}"/>
            </c:ext>
          </c:extLst>
        </c:ser>
        <c:dLbls>
          <c:showLegendKey val="0"/>
          <c:showVal val="0"/>
          <c:showCatName val="0"/>
          <c:showSerName val="0"/>
          <c:showPercent val="0"/>
          <c:showBubbleSize val="0"/>
        </c:dLbls>
        <c:gapWidth val="60"/>
        <c:axId val="80454050"/>
        <c:axId val="39785006"/>
      </c:barChart>
      <c:catAx>
        <c:axId val="80454050"/>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9785006"/>
        <c:crosses val="autoZero"/>
        <c:auto val="1"/>
        <c:lblAlgn val="ctr"/>
        <c:lblOffset val="100"/>
        <c:noMultiLvlLbl val="0"/>
      </c:catAx>
      <c:valAx>
        <c:axId val="39785006"/>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045405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ISO 27001 Gap Status</a:t>
            </a:r>
          </a:p>
        </c:rich>
      </c:tx>
      <c:overlay val="0"/>
      <c:spPr>
        <a:noFill/>
        <a:ln w="0">
          <a:noFill/>
        </a:ln>
      </c:spPr>
    </c:title>
    <c:autoTitleDeleted val="0"/>
    <c:plotArea>
      <c:layout/>
      <c:barChart>
        <c:barDir val="col"/>
        <c:grouping val="clustered"/>
        <c:varyColors val="0"/>
        <c:ser>
          <c:idx val="0"/>
          <c:order val="0"/>
          <c:tx>
            <c:strRef>
              <c:f>Dashboard!$B$179</c:f>
              <c:strCache>
                <c:ptCount val="1"/>
                <c:pt idx="0">
                  <c:v>Count</c:v>
                </c:pt>
              </c:strCache>
            </c:strRef>
          </c:tx>
          <c:spPr>
            <a:solidFill>
              <a:srgbClr val="595959"/>
            </a:solidFill>
            <a:ln w="0">
              <a:solidFill>
                <a:srgbClr val="595959"/>
              </a:solid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Dashboard!$A$180:$A$182</c:f>
              <c:strCache>
                <c:ptCount val="3"/>
                <c:pt idx="0">
                  <c:v>Implemented</c:v>
                </c:pt>
                <c:pt idx="1">
                  <c:v>Partially Implemented</c:v>
                </c:pt>
                <c:pt idx="2">
                  <c:v>Not Implemented</c:v>
                </c:pt>
              </c:strCache>
            </c:strRef>
          </c:cat>
          <c:val>
            <c:numRef>
              <c:f>Dashboard!$B$180:$B$182</c:f>
              <c:numCache>
                <c:formatCode>General</c:formatCode>
                <c:ptCount val="3"/>
                <c:pt idx="0">
                  <c:v>4</c:v>
                </c:pt>
                <c:pt idx="1">
                  <c:v>8</c:v>
                </c:pt>
                <c:pt idx="2">
                  <c:v>0</c:v>
                </c:pt>
              </c:numCache>
            </c:numRef>
          </c:val>
          <c:extLst>
            <c:ext xmlns:c16="http://schemas.microsoft.com/office/drawing/2014/chart" uri="{C3380CC4-5D6E-409C-BE32-E72D297353CC}">
              <c16:uniqueId val="{00000000-6BC9-41FA-952C-038D1DEFD67B}"/>
            </c:ext>
          </c:extLst>
        </c:ser>
        <c:dLbls>
          <c:showLegendKey val="0"/>
          <c:showVal val="0"/>
          <c:showCatName val="0"/>
          <c:showSerName val="0"/>
          <c:showPercent val="0"/>
          <c:showBubbleSize val="0"/>
        </c:dLbls>
        <c:gapWidth val="60"/>
        <c:axId val="99575112"/>
        <c:axId val="92507720"/>
      </c:barChart>
      <c:catAx>
        <c:axId val="99575112"/>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2507720"/>
        <c:crosses val="autoZero"/>
        <c:auto val="1"/>
        <c:lblAlgn val="ctr"/>
        <c:lblOffset val="100"/>
        <c:noMultiLvlLbl val="0"/>
      </c:catAx>
      <c:valAx>
        <c:axId val="92507720"/>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957511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xdr:row>
      <xdr:rowOff>0</xdr:rowOff>
    </xdr:from>
    <xdr:to>
      <xdr:col>1</xdr:col>
      <xdr:colOff>3146040</xdr:colOff>
      <xdr:row>22</xdr:row>
      <xdr:rowOff>52920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10</xdr:row>
      <xdr:rowOff>0</xdr:rowOff>
    </xdr:from>
    <xdr:to>
      <xdr:col>10</xdr:col>
      <xdr:colOff>731880</xdr:colOff>
      <xdr:row>22</xdr:row>
      <xdr:rowOff>52920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27</xdr:row>
      <xdr:rowOff>0</xdr:rowOff>
    </xdr:from>
    <xdr:to>
      <xdr:col>1</xdr:col>
      <xdr:colOff>3146040</xdr:colOff>
      <xdr:row>39</xdr:row>
      <xdr:rowOff>52920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0</xdr:colOff>
      <xdr:row>27</xdr:row>
      <xdr:rowOff>0</xdr:rowOff>
    </xdr:from>
    <xdr:to>
      <xdr:col>9</xdr:col>
      <xdr:colOff>890640</xdr:colOff>
      <xdr:row>39</xdr:row>
      <xdr:rowOff>52920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44</xdr:row>
      <xdr:rowOff>0</xdr:rowOff>
    </xdr:from>
    <xdr:to>
      <xdr:col>1</xdr:col>
      <xdr:colOff>3146040</xdr:colOff>
      <xdr:row>56</xdr:row>
      <xdr:rowOff>52920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0</xdr:colOff>
      <xdr:row>44</xdr:row>
      <xdr:rowOff>0</xdr:rowOff>
    </xdr:from>
    <xdr:to>
      <xdr:col>9</xdr:col>
      <xdr:colOff>890640</xdr:colOff>
      <xdr:row>56</xdr:row>
      <xdr:rowOff>52920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184"/>
  <sheetViews>
    <sheetView showGridLines="0" zoomScale="52" zoomScaleNormal="100" workbookViewId="0">
      <pane ySplit="4" topLeftCell="A5" activePane="bottomLeft" state="frozen"/>
      <selection pane="bottomLeft" sqref="A1:L1"/>
    </sheetView>
  </sheetViews>
  <sheetFormatPr defaultColWidth="8.6328125" defaultRowHeight="14.5" x14ac:dyDescent="0.35"/>
  <cols>
    <col min="1" max="1" width="10" customWidth="1"/>
    <col min="2" max="2" width="48" customWidth="1"/>
    <col min="3" max="3" width="9" customWidth="1"/>
    <col min="4" max="5" width="12" customWidth="1"/>
    <col min="6" max="12" width="14" customWidth="1"/>
  </cols>
  <sheetData>
    <row r="1" spans="1:12" ht="30" customHeight="1" x14ac:dyDescent="0.35">
      <c r="A1" s="13" t="s">
        <v>0</v>
      </c>
      <c r="B1" s="13"/>
      <c r="C1" s="13"/>
      <c r="D1" s="13"/>
      <c r="E1" s="13"/>
      <c r="F1" s="13"/>
      <c r="G1" s="13"/>
      <c r="H1" s="13"/>
      <c r="I1" s="13"/>
      <c r="J1" s="13"/>
      <c r="K1" s="13"/>
      <c r="L1" s="13"/>
    </row>
    <row r="2" spans="1:12" ht="21.75" customHeight="1" x14ac:dyDescent="0.35">
      <c r="A2" s="12" t="s">
        <v>1</v>
      </c>
      <c r="B2" s="12"/>
      <c r="C2" s="12"/>
      <c r="D2" s="12"/>
      <c r="E2" s="12"/>
      <c r="F2" s="12"/>
      <c r="G2" s="12"/>
      <c r="H2" s="12"/>
      <c r="I2" s="12"/>
      <c r="J2" s="12"/>
      <c r="K2" s="12"/>
      <c r="L2" s="12"/>
    </row>
    <row r="3" spans="1:12" ht="15.75" customHeight="1" x14ac:dyDescent="0.35">
      <c r="A3" s="11" t="s">
        <v>2</v>
      </c>
      <c r="B3" s="11"/>
      <c r="C3" s="11"/>
      <c r="D3" s="11"/>
      <c r="E3" s="11"/>
      <c r="F3" s="11"/>
      <c r="G3" s="11"/>
      <c r="H3" s="11"/>
      <c r="I3" s="11"/>
      <c r="J3" s="11"/>
      <c r="K3" s="11"/>
      <c r="L3" s="11"/>
    </row>
    <row r="4" spans="1:12" ht="15.75" customHeight="1" x14ac:dyDescent="0.35">
      <c r="A4" s="10" t="s">
        <v>3</v>
      </c>
      <c r="B4" s="10"/>
      <c r="C4" s="10"/>
      <c r="D4" s="10"/>
      <c r="E4" s="10"/>
      <c r="F4" s="10"/>
      <c r="G4" s="10"/>
      <c r="H4" s="10"/>
      <c r="I4" s="10"/>
      <c r="J4" s="10"/>
      <c r="K4" s="10"/>
      <c r="L4" s="10"/>
    </row>
    <row r="5" spans="1:12" ht="30" customHeight="1" x14ac:dyDescent="0.35">
      <c r="A5" s="15"/>
      <c r="B5" s="15"/>
      <c r="C5" s="15"/>
      <c r="D5" s="15"/>
      <c r="E5" s="15"/>
      <c r="F5" s="15"/>
      <c r="G5" s="15"/>
      <c r="H5" s="15"/>
      <c r="I5" s="15"/>
      <c r="J5" s="15"/>
      <c r="K5" s="15"/>
    </row>
    <row r="6" spans="1:12" ht="27.75" customHeight="1" x14ac:dyDescent="0.35">
      <c r="A6" s="9" t="s">
        <v>4</v>
      </c>
      <c r="B6" s="9"/>
      <c r="C6" s="9" t="s">
        <v>5</v>
      </c>
      <c r="D6" s="9"/>
      <c r="E6" s="9" t="s">
        <v>6</v>
      </c>
      <c r="F6" s="9"/>
      <c r="G6" s="9" t="s">
        <v>7</v>
      </c>
      <c r="H6" s="9"/>
      <c r="I6" s="9" t="s">
        <v>8</v>
      </c>
      <c r="J6" s="9"/>
      <c r="K6" s="9" t="s">
        <v>9</v>
      </c>
      <c r="L6" s="9"/>
    </row>
    <row r="7" spans="1:12" ht="33.75" customHeight="1" x14ac:dyDescent="0.35">
      <c r="A7" s="8">
        <f>COUNTA('Risk Register'!A5:A19)</f>
        <v>15</v>
      </c>
      <c r="B7" s="8"/>
      <c r="C7" s="8">
        <f>COUNTIF('Risk Register'!J5:J19,"Critical")</f>
        <v>2</v>
      </c>
      <c r="D7" s="8"/>
      <c r="E7" s="8">
        <f>COUNTIF('Risk Register'!J5:J19,"High")</f>
        <v>13</v>
      </c>
      <c r="F7" s="8"/>
      <c r="G7" s="8">
        <f>COUNTIF('Control Inventory'!G5:G19,"Implemented")</f>
        <v>7</v>
      </c>
      <c r="H7" s="8"/>
      <c r="I7" s="8">
        <f>COUNTIF('Control Inventory'!G5:G19,"Partially Implemented")</f>
        <v>8</v>
      </c>
      <c r="J7" s="8"/>
      <c r="K7" s="8">
        <f>COUNTIF('Remediation Plan'!H5:H14,"Open")</f>
        <v>9</v>
      </c>
      <c r="L7" s="8"/>
    </row>
    <row r="8" spans="1:12" ht="15" customHeight="1" x14ac:dyDescent="0.35">
      <c r="A8" s="15"/>
      <c r="B8" s="15"/>
      <c r="C8" s="15"/>
      <c r="D8" s="15"/>
      <c r="E8" s="15"/>
      <c r="F8" s="15"/>
      <c r="G8" s="15"/>
      <c r="H8" s="15"/>
      <c r="I8" s="15"/>
      <c r="J8" s="15"/>
      <c r="K8" s="15"/>
    </row>
    <row r="9" spans="1:12" ht="19.5" customHeight="1" x14ac:dyDescent="0.35">
      <c r="A9" s="7" t="s">
        <v>10</v>
      </c>
      <c r="B9" s="7"/>
      <c r="C9" s="7"/>
      <c r="D9" s="7"/>
      <c r="E9" s="7"/>
      <c r="F9" s="7"/>
      <c r="G9" s="7"/>
      <c r="H9" s="7"/>
      <c r="I9" s="7"/>
      <c r="J9" s="7"/>
      <c r="K9" s="7"/>
      <c r="L9" s="7"/>
    </row>
    <row r="10" spans="1:12" ht="15" customHeight="1" x14ac:dyDescent="0.35">
      <c r="A10" s="15"/>
      <c r="B10" s="15"/>
      <c r="C10" s="15"/>
      <c r="D10" s="15"/>
      <c r="E10" s="15"/>
      <c r="F10" s="15"/>
      <c r="G10" s="15"/>
      <c r="H10" s="15"/>
      <c r="I10" s="15"/>
      <c r="J10" s="15"/>
      <c r="K10" s="15"/>
    </row>
    <row r="11" spans="1:12" ht="15" customHeight="1" x14ac:dyDescent="0.35">
      <c r="A11" s="15"/>
      <c r="B11" s="15"/>
      <c r="C11" s="15"/>
      <c r="D11" s="15"/>
      <c r="E11" s="15"/>
      <c r="F11" s="15"/>
      <c r="G11" s="15"/>
      <c r="H11" s="15"/>
      <c r="I11" s="15"/>
      <c r="J11" s="15"/>
      <c r="K11" s="15"/>
    </row>
    <row r="12" spans="1:12" ht="15" customHeight="1" x14ac:dyDescent="0.35">
      <c r="A12" s="15"/>
      <c r="B12" s="15"/>
      <c r="C12" s="15"/>
      <c r="D12" s="15"/>
      <c r="E12" s="15"/>
      <c r="F12" s="15"/>
      <c r="G12" s="15"/>
      <c r="H12" s="15"/>
      <c r="I12" s="15"/>
      <c r="J12" s="15"/>
      <c r="K12" s="15"/>
    </row>
    <row r="13" spans="1:12" ht="15" customHeight="1" x14ac:dyDescent="0.35">
      <c r="A13" s="15"/>
      <c r="B13" s="15"/>
      <c r="C13" s="15"/>
      <c r="D13" s="15"/>
      <c r="E13" s="15"/>
      <c r="F13" s="15"/>
      <c r="G13" s="15"/>
      <c r="H13" s="15"/>
      <c r="I13" s="15"/>
      <c r="J13" s="15"/>
      <c r="K13" s="15"/>
    </row>
    <row r="14" spans="1:12" ht="15" customHeight="1" x14ac:dyDescent="0.35">
      <c r="A14" s="15"/>
      <c r="B14" s="15"/>
      <c r="C14" s="15"/>
      <c r="D14" s="15"/>
      <c r="E14" s="15"/>
      <c r="F14" s="15"/>
      <c r="G14" s="15"/>
      <c r="H14" s="15"/>
      <c r="I14" s="15"/>
      <c r="J14" s="15"/>
      <c r="K14" s="15"/>
    </row>
    <row r="15" spans="1:12" ht="15" customHeight="1" x14ac:dyDescent="0.35">
      <c r="A15" s="15"/>
      <c r="B15" s="15"/>
      <c r="C15" s="15"/>
      <c r="D15" s="15"/>
      <c r="E15" s="15"/>
      <c r="F15" s="15"/>
      <c r="G15" s="15"/>
      <c r="H15" s="15"/>
      <c r="I15" s="15"/>
      <c r="J15" s="15"/>
      <c r="K15" s="15"/>
    </row>
    <row r="16" spans="1:12" ht="15" customHeight="1" x14ac:dyDescent="0.35">
      <c r="A16" s="15"/>
      <c r="B16" s="15"/>
      <c r="C16" s="15"/>
      <c r="D16" s="15"/>
      <c r="E16" s="15"/>
      <c r="F16" s="15"/>
      <c r="G16" s="15"/>
      <c r="H16" s="15"/>
      <c r="I16" s="15"/>
      <c r="J16" s="15"/>
      <c r="K16" s="15"/>
    </row>
    <row r="17" spans="1:11" ht="15" customHeight="1" x14ac:dyDescent="0.35">
      <c r="A17" s="15"/>
      <c r="B17" s="15"/>
      <c r="C17" s="15"/>
      <c r="D17" s="15"/>
      <c r="E17" s="15"/>
      <c r="F17" s="15"/>
      <c r="G17" s="15"/>
      <c r="H17" s="15"/>
      <c r="I17" s="15"/>
      <c r="J17" s="15"/>
      <c r="K17" s="15"/>
    </row>
    <row r="18" spans="1:11" ht="15" customHeight="1" x14ac:dyDescent="0.35">
      <c r="A18" s="15"/>
      <c r="B18" s="15"/>
      <c r="C18" s="15"/>
      <c r="D18" s="15"/>
      <c r="E18" s="15"/>
      <c r="F18" s="15"/>
      <c r="G18" s="15"/>
      <c r="H18" s="15"/>
      <c r="I18" s="15"/>
      <c r="J18" s="15"/>
      <c r="K18" s="15"/>
    </row>
    <row r="19" spans="1:11" ht="15" customHeight="1" x14ac:dyDescent="0.35">
      <c r="A19" s="15"/>
      <c r="B19" s="15"/>
      <c r="C19" s="15"/>
      <c r="D19" s="15"/>
      <c r="E19" s="15"/>
      <c r="F19" s="15"/>
      <c r="G19" s="15"/>
      <c r="H19" s="15"/>
      <c r="I19" s="15"/>
      <c r="J19" s="15"/>
      <c r="K19" s="15"/>
    </row>
    <row r="20" spans="1:11" ht="15" customHeight="1" x14ac:dyDescent="0.35">
      <c r="A20" s="15"/>
      <c r="B20" s="15"/>
      <c r="C20" s="15"/>
      <c r="D20" s="15"/>
      <c r="E20" s="15"/>
      <c r="F20" s="15"/>
      <c r="G20" s="15"/>
      <c r="H20" s="15"/>
      <c r="I20" s="15"/>
      <c r="J20" s="15"/>
      <c r="K20" s="15"/>
    </row>
    <row r="21" spans="1:11" ht="15" customHeight="1" x14ac:dyDescent="0.35">
      <c r="A21" s="15"/>
      <c r="B21" s="15"/>
      <c r="C21" s="15"/>
      <c r="D21" s="15"/>
      <c r="E21" s="15"/>
      <c r="F21" s="15"/>
      <c r="G21" s="15"/>
      <c r="H21" s="15"/>
      <c r="I21" s="15"/>
      <c r="J21" s="15"/>
      <c r="K21" s="15"/>
    </row>
    <row r="22" spans="1:11" ht="15" customHeight="1" x14ac:dyDescent="0.35">
      <c r="A22" s="15"/>
      <c r="B22" s="15"/>
      <c r="C22" s="15"/>
      <c r="D22" s="15"/>
      <c r="E22" s="15"/>
      <c r="F22" s="15"/>
      <c r="G22" s="15"/>
      <c r="H22" s="15"/>
      <c r="I22" s="15"/>
      <c r="J22" s="15"/>
      <c r="K22" s="15"/>
    </row>
    <row r="23" spans="1:11" ht="15" customHeight="1" x14ac:dyDescent="0.35">
      <c r="A23" s="15"/>
      <c r="B23" s="15"/>
      <c r="C23" s="15"/>
      <c r="D23" s="15"/>
      <c r="E23" s="15"/>
      <c r="F23" s="15"/>
      <c r="G23" s="15"/>
      <c r="H23" s="15"/>
      <c r="I23" s="15"/>
      <c r="J23" s="15"/>
      <c r="K23" s="15"/>
    </row>
    <row r="24" spans="1:11" ht="15" customHeight="1" x14ac:dyDescent="0.35">
      <c r="A24" s="15"/>
      <c r="B24" s="15"/>
      <c r="C24" s="15"/>
      <c r="D24" s="15"/>
      <c r="E24" s="15"/>
      <c r="F24" s="15"/>
      <c r="G24" s="15"/>
      <c r="H24" s="15"/>
      <c r="I24" s="15"/>
      <c r="J24" s="15"/>
      <c r="K24" s="15"/>
    </row>
    <row r="25" spans="1:11" ht="15" customHeight="1" x14ac:dyDescent="0.35">
      <c r="A25" s="15"/>
      <c r="B25" s="15"/>
      <c r="C25" s="15"/>
      <c r="D25" s="15"/>
      <c r="E25" s="15"/>
      <c r="F25" s="15"/>
      <c r="G25" s="15"/>
      <c r="H25" s="15"/>
      <c r="I25" s="15"/>
      <c r="J25" s="15"/>
      <c r="K25" s="15"/>
    </row>
    <row r="26" spans="1:11" ht="15" customHeight="1" x14ac:dyDescent="0.35">
      <c r="A26" s="15"/>
      <c r="B26" s="15"/>
      <c r="C26" s="15"/>
      <c r="D26" s="15"/>
      <c r="E26" s="15"/>
      <c r="F26" s="15"/>
      <c r="G26" s="15"/>
      <c r="H26" s="15"/>
      <c r="I26" s="15"/>
      <c r="J26" s="15"/>
      <c r="K26" s="15"/>
    </row>
    <row r="27" spans="1:11" ht="15" customHeight="1" x14ac:dyDescent="0.35">
      <c r="A27" s="15"/>
      <c r="B27" s="15"/>
      <c r="C27" s="15"/>
      <c r="D27" s="15"/>
      <c r="E27" s="15"/>
      <c r="F27" s="15"/>
      <c r="G27" s="15"/>
      <c r="H27" s="15"/>
      <c r="I27" s="15"/>
      <c r="J27" s="15"/>
      <c r="K27" s="15"/>
    </row>
    <row r="28" spans="1:11" ht="15" customHeight="1" x14ac:dyDescent="0.35">
      <c r="A28" s="15"/>
      <c r="B28" s="15"/>
      <c r="C28" s="15"/>
      <c r="D28" s="15"/>
      <c r="E28" s="15"/>
      <c r="F28" s="15"/>
      <c r="G28" s="15"/>
      <c r="H28" s="15"/>
      <c r="I28" s="15"/>
      <c r="J28" s="15"/>
      <c r="K28" s="15"/>
    </row>
    <row r="29" spans="1:11" ht="15" customHeight="1" x14ac:dyDescent="0.35">
      <c r="A29" s="15"/>
      <c r="B29" s="15"/>
      <c r="C29" s="15"/>
      <c r="D29" s="15"/>
      <c r="E29" s="15"/>
      <c r="F29" s="15"/>
      <c r="G29" s="15"/>
      <c r="H29" s="15"/>
      <c r="I29" s="15"/>
      <c r="J29" s="15"/>
      <c r="K29" s="15"/>
    </row>
    <row r="30" spans="1:11" ht="15" customHeight="1" x14ac:dyDescent="0.35">
      <c r="A30" s="15"/>
      <c r="B30" s="15"/>
      <c r="C30" s="15"/>
      <c r="D30" s="15"/>
      <c r="E30" s="15"/>
      <c r="F30" s="15"/>
      <c r="G30" s="15"/>
      <c r="H30" s="15"/>
      <c r="I30" s="15"/>
      <c r="J30" s="15"/>
      <c r="K30" s="15"/>
    </row>
    <row r="31" spans="1:11" ht="15" customHeight="1" x14ac:dyDescent="0.35">
      <c r="A31" s="15"/>
      <c r="B31" s="15"/>
      <c r="C31" s="15"/>
      <c r="D31" s="15"/>
      <c r="E31" s="15"/>
      <c r="F31" s="15"/>
      <c r="G31" s="15"/>
      <c r="H31" s="15"/>
      <c r="I31" s="15"/>
      <c r="J31" s="15"/>
      <c r="K31" s="15"/>
    </row>
    <row r="32" spans="1:11" ht="15" customHeight="1" x14ac:dyDescent="0.35">
      <c r="A32" s="15"/>
      <c r="B32" s="15"/>
      <c r="C32" s="15"/>
      <c r="D32" s="15"/>
      <c r="E32" s="15"/>
      <c r="F32" s="15"/>
      <c r="G32" s="15"/>
      <c r="H32" s="15"/>
      <c r="I32" s="15"/>
      <c r="J32" s="15"/>
      <c r="K32" s="15"/>
    </row>
    <row r="33" spans="1:11" ht="15" customHeight="1" x14ac:dyDescent="0.35">
      <c r="A33" s="15"/>
      <c r="B33" s="15"/>
      <c r="C33" s="15"/>
      <c r="D33" s="15"/>
      <c r="E33" s="15"/>
      <c r="F33" s="15"/>
      <c r="G33" s="15"/>
      <c r="H33" s="15"/>
      <c r="I33" s="15"/>
      <c r="J33" s="15"/>
      <c r="K33" s="15"/>
    </row>
    <row r="34" spans="1:11" ht="15" customHeight="1" x14ac:dyDescent="0.35">
      <c r="A34" s="15"/>
      <c r="B34" s="15"/>
      <c r="C34" s="15"/>
      <c r="D34" s="15"/>
      <c r="E34" s="15"/>
      <c r="F34" s="15"/>
      <c r="G34" s="15"/>
      <c r="H34" s="15"/>
      <c r="I34" s="15"/>
      <c r="J34" s="15"/>
      <c r="K34" s="15"/>
    </row>
    <row r="35" spans="1:11" ht="15" customHeight="1" x14ac:dyDescent="0.35">
      <c r="A35" s="15"/>
      <c r="B35" s="15"/>
      <c r="C35" s="15"/>
      <c r="D35" s="15"/>
      <c r="E35" s="15"/>
      <c r="F35" s="15"/>
      <c r="G35" s="15"/>
      <c r="H35" s="15"/>
      <c r="I35" s="15"/>
      <c r="J35" s="15"/>
      <c r="K35" s="15"/>
    </row>
    <row r="36" spans="1:11" ht="15" customHeight="1" x14ac:dyDescent="0.35">
      <c r="A36" s="15"/>
      <c r="B36" s="15"/>
      <c r="C36" s="15"/>
      <c r="D36" s="15"/>
      <c r="E36" s="15"/>
      <c r="F36" s="15"/>
      <c r="G36" s="15"/>
      <c r="H36" s="15"/>
      <c r="I36" s="15"/>
      <c r="J36" s="15"/>
      <c r="K36" s="15"/>
    </row>
    <row r="37" spans="1:11" ht="15" customHeight="1" x14ac:dyDescent="0.35">
      <c r="A37" s="15"/>
      <c r="B37" s="15"/>
      <c r="C37" s="15"/>
      <c r="D37" s="15"/>
      <c r="E37" s="15"/>
      <c r="F37" s="15"/>
      <c r="G37" s="15"/>
      <c r="H37" s="15"/>
      <c r="I37" s="15"/>
      <c r="J37" s="15"/>
      <c r="K37" s="15"/>
    </row>
    <row r="38" spans="1:11" ht="15" customHeight="1" x14ac:dyDescent="0.35">
      <c r="A38" s="15"/>
      <c r="B38" s="15"/>
      <c r="C38" s="15"/>
      <c r="D38" s="15"/>
      <c r="E38" s="15"/>
      <c r="F38" s="15"/>
      <c r="G38" s="15"/>
      <c r="H38" s="15"/>
      <c r="I38" s="15"/>
      <c r="J38" s="15"/>
      <c r="K38" s="15"/>
    </row>
    <row r="39" spans="1:11" ht="15" customHeight="1" x14ac:dyDescent="0.35">
      <c r="A39" s="15"/>
      <c r="B39" s="15"/>
      <c r="C39" s="15"/>
      <c r="D39" s="15"/>
      <c r="E39" s="15"/>
      <c r="F39" s="15"/>
      <c r="G39" s="15"/>
      <c r="H39" s="15"/>
      <c r="I39" s="15"/>
      <c r="J39" s="15"/>
      <c r="K39" s="15"/>
    </row>
    <row r="40" spans="1:11" ht="15" customHeight="1" x14ac:dyDescent="0.35">
      <c r="A40" s="15"/>
      <c r="B40" s="15"/>
      <c r="C40" s="15"/>
      <c r="D40" s="15"/>
      <c r="E40" s="15"/>
      <c r="F40" s="15"/>
      <c r="G40" s="15"/>
      <c r="H40" s="15"/>
      <c r="I40" s="15"/>
      <c r="J40" s="15"/>
      <c r="K40" s="15"/>
    </row>
    <row r="41" spans="1:11" ht="15" customHeight="1" x14ac:dyDescent="0.35">
      <c r="A41" s="15"/>
      <c r="B41" s="15"/>
      <c r="C41" s="15"/>
      <c r="D41" s="15"/>
      <c r="E41" s="15"/>
      <c r="F41" s="15"/>
      <c r="G41" s="15"/>
      <c r="H41" s="15"/>
      <c r="I41" s="15"/>
      <c r="J41" s="15"/>
      <c r="K41" s="15"/>
    </row>
    <row r="42" spans="1:11" ht="15" customHeight="1" x14ac:dyDescent="0.35">
      <c r="A42" s="15"/>
      <c r="B42" s="15"/>
      <c r="C42" s="15"/>
      <c r="D42" s="15"/>
      <c r="E42" s="15"/>
      <c r="F42" s="15"/>
      <c r="G42" s="15"/>
      <c r="H42" s="15"/>
      <c r="I42" s="15"/>
      <c r="J42" s="15"/>
      <c r="K42" s="15"/>
    </row>
    <row r="43" spans="1:11" ht="15" customHeight="1" x14ac:dyDescent="0.35">
      <c r="A43" s="15"/>
      <c r="B43" s="15"/>
      <c r="C43" s="15"/>
      <c r="D43" s="15"/>
      <c r="E43" s="15"/>
      <c r="F43" s="15"/>
      <c r="G43" s="15"/>
      <c r="H43" s="15"/>
      <c r="I43" s="15"/>
      <c r="J43" s="15"/>
      <c r="K43" s="15"/>
    </row>
    <row r="44" spans="1:11" ht="15" customHeight="1" x14ac:dyDescent="0.35">
      <c r="A44" s="15"/>
      <c r="B44" s="15"/>
      <c r="C44" s="15"/>
      <c r="D44" s="15"/>
      <c r="E44" s="15"/>
      <c r="F44" s="15"/>
      <c r="G44" s="15"/>
      <c r="H44" s="15"/>
      <c r="I44" s="15"/>
      <c r="J44" s="15"/>
      <c r="K44" s="15"/>
    </row>
    <row r="45" spans="1:11" ht="15" customHeight="1" x14ac:dyDescent="0.35">
      <c r="A45" s="15"/>
      <c r="B45" s="15"/>
      <c r="C45" s="15"/>
      <c r="D45" s="15"/>
      <c r="E45" s="15"/>
      <c r="F45" s="15"/>
      <c r="G45" s="15"/>
      <c r="H45" s="15"/>
      <c r="I45" s="15"/>
      <c r="J45" s="15"/>
      <c r="K45" s="15"/>
    </row>
    <row r="46" spans="1:11" ht="15" customHeight="1" x14ac:dyDescent="0.35">
      <c r="A46" s="15"/>
      <c r="B46" s="15"/>
      <c r="C46" s="15"/>
      <c r="D46" s="15"/>
      <c r="E46" s="15"/>
      <c r="F46" s="15"/>
      <c r="G46" s="15"/>
      <c r="H46" s="15"/>
      <c r="I46" s="15"/>
      <c r="J46" s="15"/>
      <c r="K46" s="15"/>
    </row>
    <row r="47" spans="1:11" ht="15" customHeight="1" x14ac:dyDescent="0.35">
      <c r="A47" s="15"/>
      <c r="B47" s="15"/>
      <c r="C47" s="15"/>
      <c r="D47" s="15"/>
      <c r="E47" s="15"/>
      <c r="F47" s="15"/>
      <c r="G47" s="15"/>
      <c r="H47" s="15"/>
      <c r="I47" s="15"/>
      <c r="J47" s="15"/>
      <c r="K47" s="15"/>
    </row>
    <row r="48" spans="1:11" ht="15" customHeight="1" x14ac:dyDescent="0.35">
      <c r="A48" s="15"/>
      <c r="B48" s="15"/>
      <c r="C48" s="15"/>
      <c r="D48" s="15"/>
      <c r="E48" s="15"/>
      <c r="F48" s="15"/>
      <c r="G48" s="15"/>
      <c r="H48" s="15"/>
      <c r="I48" s="15"/>
      <c r="J48" s="15"/>
      <c r="K48" s="15"/>
    </row>
    <row r="49" spans="1:12" ht="15" customHeight="1" x14ac:dyDescent="0.35">
      <c r="A49" s="15"/>
      <c r="B49" s="15"/>
      <c r="C49" s="15"/>
      <c r="D49" s="15"/>
      <c r="E49" s="15"/>
      <c r="F49" s="15"/>
      <c r="G49" s="15"/>
      <c r="H49" s="15"/>
      <c r="I49" s="15"/>
      <c r="J49" s="15"/>
      <c r="K49" s="15"/>
    </row>
    <row r="50" spans="1:12" ht="15" customHeight="1" x14ac:dyDescent="0.35">
      <c r="A50" s="15"/>
      <c r="B50" s="15"/>
      <c r="C50" s="15"/>
      <c r="D50" s="15"/>
      <c r="E50" s="15"/>
      <c r="F50" s="15"/>
      <c r="G50" s="15"/>
      <c r="H50" s="15"/>
      <c r="I50" s="15"/>
      <c r="J50" s="15"/>
      <c r="K50" s="15"/>
    </row>
    <row r="51" spans="1:12" ht="15" customHeight="1" x14ac:dyDescent="0.35">
      <c r="A51" s="15"/>
      <c r="B51" s="15"/>
      <c r="C51" s="15"/>
      <c r="D51" s="15"/>
      <c r="E51" s="15"/>
      <c r="F51" s="15"/>
      <c r="G51" s="15"/>
      <c r="H51" s="15"/>
      <c r="I51" s="15"/>
      <c r="J51" s="15"/>
      <c r="K51" s="15"/>
    </row>
    <row r="52" spans="1:12" ht="15" customHeight="1" x14ac:dyDescent="0.35">
      <c r="A52" s="15"/>
      <c r="B52" s="15"/>
      <c r="C52" s="15"/>
      <c r="D52" s="15"/>
      <c r="E52" s="15"/>
      <c r="F52" s="15"/>
      <c r="G52" s="15"/>
      <c r="H52" s="15"/>
      <c r="I52" s="15"/>
      <c r="J52" s="15"/>
      <c r="K52" s="15"/>
    </row>
    <row r="53" spans="1:12" ht="15" customHeight="1" x14ac:dyDescent="0.35">
      <c r="A53" s="15"/>
      <c r="B53" s="15"/>
      <c r="C53" s="15"/>
      <c r="D53" s="15"/>
      <c r="E53" s="15"/>
      <c r="F53" s="15"/>
      <c r="G53" s="15"/>
      <c r="H53" s="15"/>
      <c r="I53" s="15"/>
      <c r="J53" s="15"/>
      <c r="K53" s="15"/>
    </row>
    <row r="54" spans="1:12" ht="15" customHeight="1" x14ac:dyDescent="0.35">
      <c r="A54" s="15"/>
      <c r="B54" s="15"/>
      <c r="C54" s="15"/>
      <c r="D54" s="15"/>
      <c r="E54" s="15"/>
      <c r="F54" s="15"/>
      <c r="G54" s="15"/>
      <c r="H54" s="15"/>
      <c r="I54" s="15"/>
      <c r="J54" s="15"/>
      <c r="K54" s="15"/>
    </row>
    <row r="55" spans="1:12" ht="15" customHeight="1" x14ac:dyDescent="0.35">
      <c r="A55" s="15"/>
      <c r="B55" s="15"/>
      <c r="C55" s="15"/>
      <c r="D55" s="15"/>
      <c r="E55" s="15"/>
      <c r="F55" s="15"/>
      <c r="G55" s="15"/>
      <c r="H55" s="15"/>
      <c r="I55" s="15"/>
      <c r="J55" s="15"/>
      <c r="K55" s="15"/>
    </row>
    <row r="56" spans="1:12" ht="15" customHeight="1" x14ac:dyDescent="0.35">
      <c r="A56" s="15"/>
      <c r="B56" s="15"/>
      <c r="C56" s="15"/>
      <c r="D56" s="15"/>
      <c r="E56" s="15"/>
      <c r="F56" s="15"/>
      <c r="G56" s="15"/>
      <c r="H56" s="15"/>
      <c r="I56" s="15"/>
      <c r="J56" s="15"/>
      <c r="K56" s="15"/>
    </row>
    <row r="57" spans="1:12" ht="15" customHeight="1" x14ac:dyDescent="0.35">
      <c r="A57" s="15"/>
      <c r="B57" s="15"/>
      <c r="C57" s="15"/>
      <c r="D57" s="15"/>
      <c r="E57" s="15"/>
      <c r="F57" s="15"/>
      <c r="G57" s="15"/>
      <c r="H57" s="15"/>
      <c r="I57" s="15"/>
      <c r="J57" s="15"/>
      <c r="K57" s="15"/>
    </row>
    <row r="58" spans="1:12" ht="15" customHeight="1" x14ac:dyDescent="0.35">
      <c r="A58" s="15"/>
      <c r="B58" s="15"/>
      <c r="C58" s="15"/>
      <c r="D58" s="15"/>
      <c r="E58" s="15"/>
      <c r="F58" s="15"/>
      <c r="G58" s="15"/>
      <c r="H58" s="15"/>
      <c r="I58" s="15"/>
      <c r="J58" s="15"/>
      <c r="K58" s="15"/>
    </row>
    <row r="59" spans="1:12" ht="15" customHeight="1" x14ac:dyDescent="0.35">
      <c r="A59" s="15"/>
      <c r="B59" s="15"/>
      <c r="C59" s="15"/>
      <c r="D59" s="15"/>
      <c r="E59" s="15"/>
      <c r="F59" s="15"/>
      <c r="G59" s="15"/>
      <c r="H59" s="15"/>
      <c r="I59" s="15"/>
      <c r="J59" s="15"/>
      <c r="K59" s="15"/>
    </row>
    <row r="60" spans="1:12" ht="15" customHeight="1" x14ac:dyDescent="0.35">
      <c r="A60" s="15"/>
      <c r="B60" s="15"/>
      <c r="C60" s="15"/>
      <c r="D60" s="15"/>
      <c r="E60" s="15"/>
      <c r="F60" s="15"/>
      <c r="G60" s="15"/>
      <c r="H60" s="15"/>
      <c r="I60" s="15"/>
      <c r="J60" s="15"/>
      <c r="K60" s="15"/>
    </row>
    <row r="61" spans="1:12" ht="15" customHeight="1" x14ac:dyDescent="0.35">
      <c r="A61" s="15"/>
      <c r="B61" s="15"/>
      <c r="C61" s="15"/>
      <c r="D61" s="15"/>
      <c r="E61" s="15"/>
      <c r="F61" s="15"/>
      <c r="G61" s="15"/>
      <c r="H61" s="15"/>
      <c r="I61" s="15"/>
      <c r="J61" s="15"/>
      <c r="K61" s="15"/>
    </row>
    <row r="62" spans="1:12" ht="19.5" customHeight="1" x14ac:dyDescent="0.35">
      <c r="A62" s="7" t="s">
        <v>11</v>
      </c>
      <c r="B62" s="7"/>
      <c r="C62" s="7"/>
      <c r="D62" s="7"/>
      <c r="E62" s="7"/>
      <c r="F62" s="7"/>
      <c r="G62" s="7"/>
      <c r="H62" s="7"/>
      <c r="I62" s="7"/>
      <c r="J62" s="7"/>
      <c r="K62" s="7"/>
      <c r="L62" s="7"/>
    </row>
    <row r="63" spans="1:12" ht="15" customHeight="1" x14ac:dyDescent="0.35">
      <c r="A63" s="15"/>
      <c r="B63" s="15"/>
      <c r="C63" s="15"/>
      <c r="D63" s="15"/>
      <c r="E63" s="15"/>
      <c r="F63" s="15"/>
      <c r="G63" s="15"/>
      <c r="H63" s="15"/>
      <c r="I63" s="15"/>
      <c r="J63" s="15"/>
      <c r="K63" s="15"/>
    </row>
    <row r="64" spans="1:12" ht="19.5" customHeight="1" x14ac:dyDescent="0.35">
      <c r="A64" s="18" t="s">
        <v>12</v>
      </c>
      <c r="B64" s="15"/>
      <c r="C64" s="15"/>
      <c r="D64" s="15"/>
      <c r="E64" s="15"/>
      <c r="F64" s="15"/>
      <c r="G64" s="15"/>
      <c r="H64" s="15"/>
      <c r="I64" s="19">
        <f>D184</f>
        <v>0.33333333333333331</v>
      </c>
      <c r="J64" s="15"/>
      <c r="K64" s="15"/>
    </row>
    <row r="65" spans="1:12" ht="19.5" customHeight="1" x14ac:dyDescent="0.35">
      <c r="A65" s="7" t="s">
        <v>13</v>
      </c>
      <c r="B65" s="7"/>
      <c r="C65" s="7"/>
      <c r="D65" s="7"/>
      <c r="E65" s="7"/>
      <c r="F65" s="7"/>
      <c r="G65" s="7"/>
      <c r="H65" s="7"/>
      <c r="I65" s="7"/>
      <c r="J65" s="7"/>
      <c r="K65" s="7"/>
      <c r="L65" s="7"/>
    </row>
    <row r="66" spans="1:12" ht="15" customHeight="1" x14ac:dyDescent="0.35">
      <c r="A66" s="20" t="s">
        <v>14</v>
      </c>
      <c r="B66" s="20" t="s">
        <v>15</v>
      </c>
      <c r="C66" s="20" t="s">
        <v>16</v>
      </c>
      <c r="D66" s="20" t="s">
        <v>17</v>
      </c>
      <c r="E66" s="20" t="s">
        <v>18</v>
      </c>
      <c r="F66" s="15"/>
      <c r="G66" s="15"/>
      <c r="H66" s="15"/>
      <c r="I66" s="15"/>
      <c r="J66" s="15"/>
      <c r="K66" s="15"/>
    </row>
    <row r="67" spans="1:12" ht="25.5" customHeight="1" x14ac:dyDescent="0.35">
      <c r="A67" s="21" t="s">
        <v>19</v>
      </c>
      <c r="B67" s="22" t="str">
        <f>INDEX('Risk Register'!$D$5:$D$19,MATCH(A67,'Risk Register'!$A$5:$A$19,0))</f>
        <v>Phishing could compromise employee credentials and allow unauthorized system access</v>
      </c>
      <c r="C67" s="21">
        <f>INDEX('Risk Register'!$I$5:$I$19,MATCH(A67,'Risk Register'!$A$5:$A$19,0))</f>
        <v>20</v>
      </c>
      <c r="D67" s="21" t="str">
        <f>INDEX('Risk Register'!$J$5:$J$19,MATCH(A67,'Risk Register'!$A$5:$A$19,0))</f>
        <v>Critical</v>
      </c>
      <c r="E67" s="21" t="str">
        <f>INDEX('Risk Register'!$L$5:$L$19,MATCH(A67,'Risk Register'!$A$5:$A$19,0))</f>
        <v>Mitigate</v>
      </c>
      <c r="F67" s="15"/>
      <c r="G67" s="15"/>
      <c r="H67" s="15"/>
      <c r="I67" s="15"/>
      <c r="J67" s="15"/>
      <c r="K67" s="15"/>
    </row>
    <row r="68" spans="1:12" ht="25.5" customHeight="1" x14ac:dyDescent="0.35">
      <c r="A68" s="21" t="s">
        <v>20</v>
      </c>
      <c r="B68" s="22" t="str">
        <f>INDEX('Risk Register'!$D$5:$D$19,MATCH(A68,'Risk Register'!$A$5:$A$19,0))</f>
        <v>Unpatched systems could be exploited by attackers</v>
      </c>
      <c r="C68" s="21">
        <f>INDEX('Risk Register'!$I$5:$I$19,MATCH(A68,'Risk Register'!$A$5:$A$19,0))</f>
        <v>20</v>
      </c>
      <c r="D68" s="21" t="str">
        <f>INDEX('Risk Register'!$J$5:$J$19,MATCH(A68,'Risk Register'!$A$5:$A$19,0))</f>
        <v>Critical</v>
      </c>
      <c r="E68" s="21" t="str">
        <f>INDEX('Risk Register'!$L$5:$L$19,MATCH(A68,'Risk Register'!$A$5:$A$19,0))</f>
        <v>Mitigate</v>
      </c>
      <c r="F68" s="15"/>
      <c r="G68" s="15"/>
      <c r="H68" s="15"/>
      <c r="I68" s="15"/>
      <c r="J68" s="15"/>
      <c r="K68" s="15"/>
    </row>
    <row r="69" spans="1:12" ht="25.5" customHeight="1" x14ac:dyDescent="0.35">
      <c r="A69" s="21" t="s">
        <v>21</v>
      </c>
      <c r="B69" s="22" t="str">
        <f>INDEX('Risk Register'!$D$5:$D$19,MATCH(A69,'Risk Register'!$A$5:$A$19,0))</f>
        <v>Ransomware could encrypt business data and disrupt operations</v>
      </c>
      <c r="C69" s="21">
        <f>INDEX('Risk Register'!$I$5:$I$19,MATCH(A69,'Risk Register'!$A$5:$A$19,0))</f>
        <v>16</v>
      </c>
      <c r="D69" s="21" t="str">
        <f>INDEX('Risk Register'!$J$5:$J$19,MATCH(A69,'Risk Register'!$A$5:$A$19,0))</f>
        <v>High</v>
      </c>
      <c r="E69" s="21" t="str">
        <f>INDEX('Risk Register'!$L$5:$L$19,MATCH(A69,'Risk Register'!$A$5:$A$19,0))</f>
        <v>Mitigate</v>
      </c>
      <c r="F69" s="15"/>
      <c r="G69" s="15"/>
      <c r="H69" s="15"/>
      <c r="I69" s="15"/>
      <c r="J69" s="15"/>
      <c r="K69" s="15"/>
    </row>
    <row r="70" spans="1:12" ht="25.5" customHeight="1" x14ac:dyDescent="0.35">
      <c r="A70" s="21" t="s">
        <v>22</v>
      </c>
      <c r="B70" s="22" t="str">
        <f>INDEX('Risk Register'!$D$5:$D$19,MATCH(A70,'Risk Register'!$A$5:$A$19,0))</f>
        <v>Weak passwords could allow unauthorized account access</v>
      </c>
      <c r="C70" s="21">
        <f>INDEX('Risk Register'!$I$5:$I$19,MATCH(A70,'Risk Register'!$A$5:$A$19,0))</f>
        <v>16</v>
      </c>
      <c r="D70" s="21" t="str">
        <f>INDEX('Risk Register'!$J$5:$J$19,MATCH(A70,'Risk Register'!$A$5:$A$19,0))</f>
        <v>High</v>
      </c>
      <c r="E70" s="21" t="str">
        <f>INDEX('Risk Register'!$L$5:$L$19,MATCH(A70,'Risk Register'!$A$5:$A$19,0))</f>
        <v>Mitigate</v>
      </c>
      <c r="F70" s="15"/>
      <c r="G70" s="15"/>
      <c r="H70" s="15"/>
      <c r="I70" s="15"/>
      <c r="J70" s="15"/>
      <c r="K70" s="15"/>
    </row>
    <row r="71" spans="1:12" ht="25.5" customHeight="1" x14ac:dyDescent="0.35">
      <c r="A71" s="21" t="s">
        <v>23</v>
      </c>
      <c r="B71" s="22" t="str">
        <f>INDEX('Risk Register'!$D$5:$D$19,MATCH(A71,'Risk Register'!$A$5:$A$19,0))</f>
        <v>Email account compromise could enable phishing and data theft</v>
      </c>
      <c r="C71" s="21">
        <f>INDEX('Risk Register'!$I$5:$I$19,MATCH(A71,'Risk Register'!$A$5:$A$19,0))</f>
        <v>16</v>
      </c>
      <c r="D71" s="21" t="str">
        <f>INDEX('Risk Register'!$J$5:$J$19,MATCH(A71,'Risk Register'!$A$5:$A$19,0))</f>
        <v>High</v>
      </c>
      <c r="E71" s="21" t="str">
        <f>INDEX('Risk Register'!$L$5:$L$19,MATCH(A71,'Risk Register'!$A$5:$A$19,0))</f>
        <v>Mitigate</v>
      </c>
      <c r="F71" s="15"/>
      <c r="G71" s="15"/>
      <c r="H71" s="15"/>
      <c r="I71" s="15"/>
      <c r="J71" s="15"/>
      <c r="K71" s="15"/>
    </row>
    <row r="72" spans="1:12" ht="15" customHeight="1" x14ac:dyDescent="0.35">
      <c r="A72" s="15"/>
      <c r="B72" s="15"/>
      <c r="C72" s="15"/>
      <c r="D72" s="15"/>
      <c r="E72" s="15"/>
      <c r="F72" s="15"/>
      <c r="G72" s="15"/>
      <c r="H72" s="15"/>
      <c r="I72" s="15"/>
      <c r="J72" s="15"/>
      <c r="K72" s="15"/>
    </row>
    <row r="73" spans="1:12" ht="15" customHeight="1" x14ac:dyDescent="0.35">
      <c r="A73" s="15"/>
      <c r="B73" s="15"/>
      <c r="C73" s="15"/>
      <c r="D73" s="15"/>
      <c r="E73" s="15"/>
      <c r="F73" s="15"/>
      <c r="G73" s="15"/>
      <c r="H73" s="15"/>
      <c r="I73" s="15"/>
      <c r="J73" s="15"/>
      <c r="K73" s="15"/>
    </row>
    <row r="74" spans="1:12" ht="19.5" customHeight="1" x14ac:dyDescent="0.35">
      <c r="A74" s="7" t="s">
        <v>24</v>
      </c>
      <c r="B74" s="7"/>
      <c r="C74" s="7"/>
      <c r="D74" s="7"/>
      <c r="E74" s="7"/>
      <c r="F74" s="7"/>
      <c r="G74" s="7"/>
      <c r="H74" s="7"/>
      <c r="I74" s="7"/>
      <c r="J74" s="7"/>
      <c r="K74" s="7"/>
      <c r="L74" s="7"/>
    </row>
    <row r="75" spans="1:12" ht="90" customHeight="1" x14ac:dyDescent="0.35">
      <c r="A75" s="6" t="s">
        <v>25</v>
      </c>
      <c r="B75" s="6"/>
      <c r="C75" s="6"/>
      <c r="D75" s="6"/>
      <c r="E75" s="6"/>
      <c r="F75" s="6"/>
      <c r="G75" s="6"/>
      <c r="H75" s="6"/>
      <c r="I75" s="6"/>
      <c r="J75" s="6"/>
      <c r="K75" s="6"/>
      <c r="L75" s="6"/>
    </row>
    <row r="76" spans="1:12" ht="15" customHeight="1" x14ac:dyDescent="0.35">
      <c r="A76" s="15"/>
      <c r="B76" s="15"/>
      <c r="C76" s="15"/>
      <c r="D76" s="15"/>
      <c r="E76" s="15"/>
      <c r="F76" s="15"/>
      <c r="G76" s="15"/>
      <c r="H76" s="15"/>
      <c r="I76" s="15"/>
      <c r="J76" s="15"/>
      <c r="K76" s="15"/>
    </row>
    <row r="77" spans="1:12" ht="15" customHeight="1" x14ac:dyDescent="0.35">
      <c r="A77" s="15"/>
      <c r="B77" s="15"/>
      <c r="C77" s="15"/>
      <c r="D77" s="15"/>
      <c r="E77" s="15"/>
      <c r="F77" s="15"/>
      <c r="G77" s="15"/>
      <c r="H77" s="15"/>
      <c r="I77" s="15"/>
      <c r="J77" s="15"/>
      <c r="K77" s="15"/>
    </row>
    <row r="78" spans="1:12" ht="15" customHeight="1" x14ac:dyDescent="0.35">
      <c r="A78" s="15"/>
      <c r="B78" s="15"/>
      <c r="C78" s="15"/>
      <c r="D78" s="15"/>
      <c r="E78" s="15"/>
      <c r="F78" s="15"/>
      <c r="G78" s="15"/>
      <c r="H78" s="15"/>
      <c r="I78" s="15"/>
      <c r="J78" s="15"/>
      <c r="K78" s="15"/>
    </row>
    <row r="79" spans="1:12" ht="15" customHeight="1" x14ac:dyDescent="0.35">
      <c r="A79" s="15"/>
      <c r="B79" s="15"/>
      <c r="C79" s="15"/>
      <c r="D79" s="15"/>
      <c r="E79" s="15"/>
      <c r="F79" s="15"/>
      <c r="G79" s="15"/>
      <c r="H79" s="15"/>
      <c r="I79" s="15"/>
      <c r="J79" s="15"/>
      <c r="K79" s="15"/>
    </row>
    <row r="80" spans="1:12" ht="15" customHeight="1" x14ac:dyDescent="0.35">
      <c r="A80" s="15"/>
      <c r="B80" s="15"/>
      <c r="C80" s="15"/>
      <c r="D80" s="15"/>
      <c r="E80" s="15"/>
      <c r="F80" s="15"/>
      <c r="G80" s="15"/>
      <c r="H80" s="15"/>
      <c r="I80" s="15"/>
      <c r="J80" s="15"/>
      <c r="K80" s="15"/>
    </row>
    <row r="81" spans="1:11" ht="15" customHeight="1" x14ac:dyDescent="0.35">
      <c r="A81" s="15"/>
      <c r="B81" s="15"/>
      <c r="C81" s="15"/>
      <c r="D81" s="15"/>
      <c r="E81" s="15"/>
      <c r="F81" s="15"/>
      <c r="G81" s="15"/>
      <c r="H81" s="15"/>
      <c r="I81" s="15"/>
      <c r="J81" s="15"/>
      <c r="K81" s="15"/>
    </row>
    <row r="82" spans="1:11" ht="15" customHeight="1" x14ac:dyDescent="0.35">
      <c r="A82" s="15"/>
      <c r="B82" s="15"/>
      <c r="C82" s="15"/>
      <c r="D82" s="15"/>
      <c r="E82" s="15"/>
      <c r="F82" s="15"/>
      <c r="G82" s="15"/>
      <c r="H82" s="15"/>
      <c r="I82" s="15"/>
      <c r="J82" s="15"/>
      <c r="K82" s="15"/>
    </row>
    <row r="83" spans="1:11" ht="15" customHeight="1" x14ac:dyDescent="0.35">
      <c r="A83" s="15"/>
      <c r="B83" s="15"/>
      <c r="C83" s="15"/>
      <c r="D83" s="15"/>
      <c r="E83" s="15"/>
      <c r="F83" s="15"/>
      <c r="G83" s="15"/>
      <c r="H83" s="15"/>
      <c r="I83" s="15"/>
      <c r="J83" s="15"/>
      <c r="K83" s="15"/>
    </row>
    <row r="84" spans="1:11" ht="15" customHeight="1" x14ac:dyDescent="0.35">
      <c r="A84" s="15"/>
      <c r="B84" s="15"/>
      <c r="C84" s="15"/>
      <c r="D84" s="15"/>
      <c r="E84" s="15"/>
      <c r="F84" s="15"/>
      <c r="G84" s="15"/>
      <c r="H84" s="15"/>
      <c r="I84" s="15"/>
      <c r="J84" s="15"/>
      <c r="K84" s="15"/>
    </row>
    <row r="85" spans="1:11" ht="15" customHeight="1" x14ac:dyDescent="0.35">
      <c r="A85" s="15"/>
      <c r="B85" s="15"/>
      <c r="C85" s="15"/>
      <c r="D85" s="15"/>
      <c r="E85" s="15"/>
      <c r="F85" s="15"/>
      <c r="G85" s="15"/>
      <c r="H85" s="15"/>
      <c r="I85" s="15"/>
      <c r="J85" s="15"/>
      <c r="K85" s="15"/>
    </row>
    <row r="86" spans="1:11" ht="15" customHeight="1" x14ac:dyDescent="0.35">
      <c r="A86" s="15"/>
      <c r="B86" s="15"/>
      <c r="C86" s="15"/>
      <c r="D86" s="15"/>
      <c r="E86" s="15"/>
      <c r="F86" s="15"/>
      <c r="G86" s="15"/>
      <c r="H86" s="15"/>
      <c r="I86" s="15"/>
      <c r="J86" s="15"/>
      <c r="K86" s="15"/>
    </row>
    <row r="87" spans="1:11" ht="15" customHeight="1" x14ac:dyDescent="0.35">
      <c r="A87" s="15"/>
      <c r="B87" s="15"/>
      <c r="C87" s="15"/>
      <c r="D87" s="15"/>
      <c r="E87" s="15"/>
      <c r="F87" s="15"/>
      <c r="G87" s="15"/>
      <c r="H87" s="15"/>
      <c r="I87" s="15"/>
      <c r="J87" s="15"/>
      <c r="K87" s="15"/>
    </row>
    <row r="88" spans="1:11" ht="15" customHeight="1" x14ac:dyDescent="0.35">
      <c r="A88" s="15"/>
      <c r="B88" s="15"/>
      <c r="C88" s="15"/>
      <c r="D88" s="15"/>
      <c r="E88" s="15"/>
      <c r="F88" s="15"/>
      <c r="G88" s="15"/>
      <c r="H88" s="15"/>
      <c r="I88" s="15"/>
      <c r="J88" s="15"/>
      <c r="K88" s="15"/>
    </row>
    <row r="89" spans="1:11" ht="15" customHeight="1" x14ac:dyDescent="0.35">
      <c r="A89" s="15"/>
      <c r="B89" s="15"/>
      <c r="C89" s="15"/>
      <c r="D89" s="15"/>
      <c r="E89" s="15"/>
      <c r="F89" s="15"/>
      <c r="G89" s="15"/>
      <c r="H89" s="15"/>
      <c r="I89" s="15"/>
      <c r="J89" s="15"/>
      <c r="K89" s="15"/>
    </row>
    <row r="90" spans="1:11" ht="15" customHeight="1" x14ac:dyDescent="0.35">
      <c r="A90" s="15"/>
      <c r="B90" s="15"/>
      <c r="C90" s="15"/>
      <c r="D90" s="15"/>
      <c r="E90" s="15"/>
      <c r="F90" s="15"/>
      <c r="G90" s="15"/>
      <c r="H90" s="15"/>
      <c r="I90" s="15"/>
      <c r="J90" s="15"/>
      <c r="K90" s="15"/>
    </row>
    <row r="91" spans="1:11" ht="15" customHeight="1" x14ac:dyDescent="0.35">
      <c r="A91" s="15"/>
      <c r="B91" s="15"/>
      <c r="C91" s="15"/>
      <c r="D91" s="15"/>
      <c r="E91" s="15"/>
      <c r="F91" s="15"/>
      <c r="G91" s="15"/>
      <c r="H91" s="15"/>
      <c r="I91" s="15"/>
      <c r="J91" s="15"/>
      <c r="K91" s="15"/>
    </row>
    <row r="92" spans="1:11" ht="15" customHeight="1" x14ac:dyDescent="0.35">
      <c r="A92" s="15"/>
      <c r="B92" s="15"/>
      <c r="C92" s="15"/>
      <c r="D92" s="15"/>
      <c r="E92" s="15"/>
      <c r="F92" s="15"/>
      <c r="G92" s="15"/>
      <c r="H92" s="15"/>
      <c r="I92" s="15"/>
      <c r="J92" s="15"/>
      <c r="K92" s="15"/>
    </row>
    <row r="93" spans="1:11" ht="15" customHeight="1" x14ac:dyDescent="0.35">
      <c r="A93" s="15"/>
      <c r="B93" s="15"/>
      <c r="C93" s="15"/>
      <c r="D93" s="15"/>
      <c r="E93" s="15"/>
      <c r="F93" s="15"/>
      <c r="G93" s="15"/>
      <c r="H93" s="15"/>
      <c r="I93" s="15"/>
      <c r="J93" s="15"/>
      <c r="K93" s="15"/>
    </row>
    <row r="94" spans="1:11" ht="15" customHeight="1" x14ac:dyDescent="0.35">
      <c r="A94" s="15"/>
      <c r="B94" s="15"/>
      <c r="C94" s="15"/>
      <c r="D94" s="15"/>
      <c r="E94" s="15"/>
      <c r="F94" s="15"/>
      <c r="G94" s="15"/>
      <c r="H94" s="15"/>
      <c r="I94" s="15"/>
      <c r="J94" s="15"/>
      <c r="K94" s="15"/>
    </row>
    <row r="95" spans="1:11" ht="15" customHeight="1" x14ac:dyDescent="0.35">
      <c r="A95" s="15"/>
      <c r="B95" s="15"/>
      <c r="C95" s="15"/>
      <c r="D95" s="15"/>
      <c r="E95" s="15"/>
      <c r="F95" s="15"/>
      <c r="G95" s="15"/>
      <c r="H95" s="15"/>
      <c r="I95" s="15"/>
      <c r="J95" s="15"/>
      <c r="K95" s="15"/>
    </row>
    <row r="96" spans="1:11" ht="15" customHeight="1" x14ac:dyDescent="0.35">
      <c r="A96" s="15"/>
      <c r="B96" s="15"/>
      <c r="C96" s="15"/>
      <c r="D96" s="15"/>
      <c r="E96" s="15"/>
      <c r="F96" s="15"/>
      <c r="G96" s="15"/>
      <c r="H96" s="15"/>
      <c r="I96" s="15"/>
      <c r="J96" s="15"/>
      <c r="K96" s="15"/>
    </row>
    <row r="97" spans="1:11" ht="15" customHeight="1" x14ac:dyDescent="0.35">
      <c r="A97" s="15"/>
      <c r="B97" s="15"/>
      <c r="C97" s="15"/>
      <c r="D97" s="15"/>
      <c r="E97" s="15"/>
      <c r="F97" s="15"/>
      <c r="G97" s="15"/>
      <c r="H97" s="15"/>
      <c r="I97" s="15"/>
      <c r="J97" s="15"/>
      <c r="K97" s="15"/>
    </row>
    <row r="98" spans="1:11" ht="15" customHeight="1" x14ac:dyDescent="0.35">
      <c r="A98" s="15"/>
      <c r="B98" s="15"/>
      <c r="C98" s="15"/>
      <c r="D98" s="15"/>
      <c r="E98" s="15"/>
      <c r="F98" s="15"/>
      <c r="G98" s="15"/>
      <c r="H98" s="15"/>
      <c r="I98" s="15"/>
      <c r="J98" s="15"/>
      <c r="K98" s="15"/>
    </row>
    <row r="99" spans="1:11" ht="15" customHeight="1" x14ac:dyDescent="0.35">
      <c r="A99" s="15"/>
      <c r="B99" s="15"/>
      <c r="C99" s="15"/>
      <c r="D99" s="15"/>
      <c r="E99" s="15"/>
      <c r="F99" s="15"/>
      <c r="G99" s="15"/>
      <c r="H99" s="15"/>
      <c r="I99" s="15"/>
      <c r="J99" s="15"/>
      <c r="K99" s="15"/>
    </row>
    <row r="100" spans="1:11" ht="15" customHeight="1" x14ac:dyDescent="0.35">
      <c r="A100" s="15"/>
      <c r="B100" s="15"/>
      <c r="C100" s="15"/>
      <c r="D100" s="15"/>
      <c r="E100" s="15"/>
      <c r="F100" s="15"/>
      <c r="G100" s="15"/>
      <c r="H100" s="15"/>
      <c r="I100" s="15"/>
      <c r="J100" s="15"/>
      <c r="K100" s="15"/>
    </row>
    <row r="101" spans="1:11" ht="15" customHeight="1" x14ac:dyDescent="0.35">
      <c r="A101" s="15"/>
      <c r="B101" s="15"/>
      <c r="C101" s="15"/>
      <c r="D101" s="15"/>
      <c r="E101" s="15"/>
      <c r="F101" s="15"/>
      <c r="G101" s="15"/>
      <c r="H101" s="15"/>
      <c r="I101" s="15"/>
      <c r="J101" s="15"/>
      <c r="K101" s="15"/>
    </row>
    <row r="102" spans="1:11" ht="15" customHeight="1" x14ac:dyDescent="0.35">
      <c r="A102" s="15"/>
      <c r="B102" s="15"/>
      <c r="C102" s="15"/>
      <c r="D102" s="15"/>
      <c r="E102" s="15"/>
      <c r="F102" s="15"/>
      <c r="G102" s="15"/>
      <c r="H102" s="15"/>
      <c r="I102" s="15"/>
      <c r="J102" s="15"/>
      <c r="K102" s="15"/>
    </row>
    <row r="103" spans="1:11" ht="15" customHeight="1" x14ac:dyDescent="0.35">
      <c r="A103" s="15"/>
      <c r="B103" s="15"/>
      <c r="C103" s="15"/>
      <c r="D103" s="15"/>
      <c r="E103" s="15"/>
      <c r="F103" s="15"/>
      <c r="G103" s="15"/>
      <c r="H103" s="15"/>
      <c r="I103" s="15"/>
      <c r="J103" s="15"/>
      <c r="K103" s="15"/>
    </row>
    <row r="104" spans="1:11" ht="15" customHeight="1" x14ac:dyDescent="0.35">
      <c r="A104" s="15"/>
      <c r="B104" s="15"/>
      <c r="C104" s="15"/>
      <c r="D104" s="15"/>
      <c r="E104" s="15"/>
      <c r="F104" s="15"/>
      <c r="G104" s="15"/>
      <c r="H104" s="15"/>
      <c r="I104" s="15"/>
      <c r="J104" s="15"/>
      <c r="K104" s="15"/>
    </row>
    <row r="105" spans="1:11" ht="15" customHeight="1" x14ac:dyDescent="0.35">
      <c r="A105" s="15"/>
      <c r="B105" s="15"/>
      <c r="C105" s="15"/>
      <c r="D105" s="15"/>
      <c r="E105" s="15"/>
      <c r="F105" s="15"/>
      <c r="G105" s="15"/>
      <c r="H105" s="15"/>
      <c r="I105" s="15"/>
      <c r="J105" s="15"/>
      <c r="K105" s="15"/>
    </row>
    <row r="106" spans="1:11" ht="15" customHeight="1" x14ac:dyDescent="0.35">
      <c r="A106" s="15"/>
      <c r="B106" s="15"/>
      <c r="C106" s="15"/>
      <c r="D106" s="15"/>
      <c r="E106" s="15"/>
      <c r="F106" s="15"/>
      <c r="G106" s="15"/>
      <c r="H106" s="15"/>
      <c r="I106" s="15"/>
      <c r="J106" s="15"/>
      <c r="K106" s="15"/>
    </row>
    <row r="107" spans="1:11" ht="15" customHeight="1" x14ac:dyDescent="0.35">
      <c r="A107" s="15"/>
      <c r="B107" s="15"/>
      <c r="C107" s="15"/>
      <c r="D107" s="15"/>
      <c r="E107" s="15"/>
      <c r="F107" s="15"/>
      <c r="G107" s="15"/>
      <c r="H107" s="15"/>
      <c r="I107" s="15"/>
      <c r="J107" s="15"/>
      <c r="K107" s="15"/>
    </row>
    <row r="108" spans="1:11" ht="15" customHeight="1" x14ac:dyDescent="0.35">
      <c r="A108" s="15"/>
      <c r="B108" s="15"/>
      <c r="C108" s="15"/>
      <c r="D108" s="15"/>
      <c r="E108" s="15"/>
      <c r="F108" s="15"/>
      <c r="G108" s="15"/>
      <c r="H108" s="15"/>
      <c r="I108" s="15"/>
      <c r="J108" s="15"/>
      <c r="K108" s="15"/>
    </row>
    <row r="109" spans="1:11" ht="15" customHeight="1" x14ac:dyDescent="0.35">
      <c r="A109" s="15"/>
      <c r="B109" s="15"/>
      <c r="C109" s="15"/>
      <c r="D109" s="15"/>
      <c r="E109" s="15"/>
      <c r="F109" s="15"/>
      <c r="G109" s="15"/>
      <c r="H109" s="15"/>
      <c r="I109" s="15"/>
      <c r="J109" s="15"/>
      <c r="K109" s="15"/>
    </row>
    <row r="110" spans="1:11" ht="15" customHeight="1" x14ac:dyDescent="0.35">
      <c r="A110" s="15"/>
      <c r="B110" s="15"/>
      <c r="C110" s="15"/>
      <c r="D110" s="15"/>
      <c r="E110" s="15"/>
      <c r="F110" s="15"/>
      <c r="G110" s="15"/>
      <c r="H110" s="15"/>
      <c r="I110" s="15"/>
      <c r="J110" s="15"/>
      <c r="K110" s="15"/>
    </row>
    <row r="111" spans="1:11" ht="15" customHeight="1" x14ac:dyDescent="0.35">
      <c r="A111" s="15"/>
      <c r="B111" s="15"/>
      <c r="C111" s="15"/>
      <c r="D111" s="15"/>
      <c r="E111" s="15"/>
      <c r="F111" s="15"/>
      <c r="G111" s="15"/>
      <c r="H111" s="15"/>
      <c r="I111" s="15"/>
      <c r="J111" s="15"/>
      <c r="K111" s="15"/>
    </row>
    <row r="112" spans="1:11" ht="15" customHeight="1" x14ac:dyDescent="0.35">
      <c r="A112" s="15"/>
      <c r="B112" s="15"/>
      <c r="C112" s="15"/>
      <c r="D112" s="15"/>
      <c r="E112" s="15"/>
      <c r="F112" s="15"/>
      <c r="G112" s="15"/>
      <c r="H112" s="15"/>
      <c r="I112" s="15"/>
      <c r="J112" s="15"/>
      <c r="K112" s="15"/>
    </row>
    <row r="113" spans="1:11" ht="15" customHeight="1" x14ac:dyDescent="0.35">
      <c r="A113" s="15"/>
      <c r="B113" s="15"/>
      <c r="C113" s="15"/>
      <c r="D113" s="15"/>
      <c r="E113" s="15"/>
      <c r="F113" s="15"/>
      <c r="G113" s="15"/>
      <c r="H113" s="15"/>
      <c r="I113" s="15"/>
      <c r="J113" s="15"/>
      <c r="K113" s="15"/>
    </row>
    <row r="114" spans="1:11" ht="15" customHeight="1" x14ac:dyDescent="0.35">
      <c r="A114" s="15"/>
      <c r="B114" s="15"/>
      <c r="C114" s="15"/>
      <c r="D114" s="15"/>
      <c r="E114" s="15"/>
      <c r="F114" s="15"/>
      <c r="G114" s="15"/>
      <c r="H114" s="15"/>
      <c r="I114" s="15"/>
      <c r="J114" s="15"/>
      <c r="K114" s="15"/>
    </row>
    <row r="115" spans="1:11" ht="15" customHeight="1" x14ac:dyDescent="0.35">
      <c r="A115" s="15"/>
      <c r="B115" s="15"/>
      <c r="C115" s="15"/>
      <c r="D115" s="15"/>
      <c r="E115" s="15"/>
      <c r="F115" s="15"/>
      <c r="G115" s="15"/>
      <c r="H115" s="15"/>
      <c r="I115" s="15"/>
      <c r="J115" s="15"/>
      <c r="K115" s="15"/>
    </row>
    <row r="116" spans="1:11" ht="15" customHeight="1" x14ac:dyDescent="0.35">
      <c r="A116" s="15"/>
      <c r="B116" s="15"/>
      <c r="C116" s="15"/>
      <c r="D116" s="15"/>
      <c r="E116" s="15"/>
      <c r="F116" s="15"/>
      <c r="G116" s="15"/>
      <c r="H116" s="15"/>
      <c r="I116" s="15"/>
      <c r="J116" s="15"/>
      <c r="K116" s="15"/>
    </row>
    <row r="117" spans="1:11" ht="15" customHeight="1" x14ac:dyDescent="0.35">
      <c r="A117" s="15"/>
      <c r="B117" s="15"/>
      <c r="C117" s="15"/>
      <c r="D117" s="15"/>
      <c r="E117" s="15"/>
      <c r="F117" s="15"/>
      <c r="G117" s="15"/>
      <c r="H117" s="15"/>
      <c r="I117" s="15"/>
      <c r="J117" s="15"/>
      <c r="K117" s="15"/>
    </row>
    <row r="118" spans="1:11" ht="15" customHeight="1" x14ac:dyDescent="0.35">
      <c r="A118" s="15"/>
      <c r="B118" s="15"/>
      <c r="C118" s="15"/>
      <c r="D118" s="15"/>
      <c r="E118" s="15"/>
      <c r="F118" s="15"/>
      <c r="G118" s="15"/>
      <c r="H118" s="15"/>
      <c r="I118" s="15"/>
      <c r="J118" s="15"/>
      <c r="K118" s="15"/>
    </row>
    <row r="119" spans="1:11" ht="15" customHeight="1" x14ac:dyDescent="0.35">
      <c r="A119" s="15"/>
      <c r="B119" s="15"/>
      <c r="C119" s="15"/>
      <c r="D119" s="15"/>
      <c r="E119" s="15"/>
      <c r="F119" s="15"/>
      <c r="G119" s="15"/>
      <c r="H119" s="15"/>
      <c r="I119" s="15"/>
      <c r="J119" s="15"/>
      <c r="K119" s="15"/>
    </row>
    <row r="120" spans="1:11" ht="15" customHeight="1" x14ac:dyDescent="0.35">
      <c r="A120" s="15"/>
      <c r="B120" s="15"/>
      <c r="C120" s="15"/>
      <c r="D120" s="15"/>
      <c r="E120" s="15"/>
      <c r="F120" s="15"/>
      <c r="G120" s="15"/>
      <c r="H120" s="15"/>
      <c r="I120" s="15"/>
      <c r="J120" s="15"/>
      <c r="K120" s="15"/>
    </row>
    <row r="121" spans="1:11" ht="15" customHeight="1" x14ac:dyDescent="0.35">
      <c r="A121" s="15"/>
      <c r="B121" s="15"/>
      <c r="C121" s="15"/>
      <c r="D121" s="15"/>
      <c r="E121" s="15"/>
      <c r="F121" s="15"/>
      <c r="G121" s="15"/>
      <c r="H121" s="15"/>
      <c r="I121" s="15"/>
      <c r="J121" s="15"/>
      <c r="K121" s="15"/>
    </row>
    <row r="122" spans="1:11" ht="15" customHeight="1" x14ac:dyDescent="0.35">
      <c r="A122" s="15"/>
      <c r="B122" s="15"/>
      <c r="C122" s="15"/>
      <c r="D122" s="15"/>
      <c r="E122" s="15"/>
      <c r="F122" s="15"/>
      <c r="G122" s="15"/>
      <c r="H122" s="15"/>
      <c r="I122" s="15"/>
      <c r="J122" s="15"/>
      <c r="K122" s="15"/>
    </row>
    <row r="123" spans="1:11" ht="15" customHeight="1" x14ac:dyDescent="0.35">
      <c r="A123" s="15"/>
      <c r="B123" s="15"/>
      <c r="C123" s="15"/>
      <c r="D123" s="15"/>
      <c r="E123" s="15"/>
      <c r="F123" s="15"/>
      <c r="G123" s="15"/>
      <c r="H123" s="15"/>
      <c r="I123" s="15"/>
      <c r="J123" s="15"/>
      <c r="K123" s="15"/>
    </row>
    <row r="124" spans="1:11" ht="15" customHeight="1" x14ac:dyDescent="0.35">
      <c r="A124" s="15"/>
      <c r="B124" s="15"/>
      <c r="C124" s="15"/>
      <c r="D124" s="15"/>
      <c r="E124" s="15"/>
      <c r="F124" s="15"/>
      <c r="G124" s="15"/>
      <c r="H124" s="15"/>
      <c r="I124" s="15"/>
      <c r="J124" s="15"/>
      <c r="K124" s="15"/>
    </row>
    <row r="125" spans="1:11" ht="15" customHeight="1" x14ac:dyDescent="0.35">
      <c r="A125" s="15"/>
      <c r="B125" s="15"/>
      <c r="C125" s="15"/>
      <c r="D125" s="15"/>
      <c r="E125" s="15"/>
      <c r="F125" s="15"/>
      <c r="G125" s="15"/>
      <c r="H125" s="15"/>
      <c r="I125" s="15"/>
      <c r="J125" s="15"/>
      <c r="K125" s="15"/>
    </row>
    <row r="126" spans="1:11" ht="15" customHeight="1" x14ac:dyDescent="0.35">
      <c r="A126" s="15"/>
      <c r="B126" s="15"/>
      <c r="C126" s="15"/>
      <c r="D126" s="15"/>
      <c r="E126" s="15"/>
      <c r="F126" s="15"/>
      <c r="G126" s="15"/>
      <c r="H126" s="15"/>
      <c r="I126" s="15"/>
      <c r="J126" s="15"/>
      <c r="K126" s="15"/>
    </row>
    <row r="127" spans="1:11" ht="15" customHeight="1" x14ac:dyDescent="0.35">
      <c r="A127" s="15"/>
      <c r="B127" s="15"/>
      <c r="C127" s="15"/>
      <c r="D127" s="15"/>
      <c r="E127" s="15"/>
      <c r="F127" s="15"/>
      <c r="G127" s="15"/>
      <c r="H127" s="15"/>
      <c r="I127" s="15"/>
      <c r="J127" s="15"/>
      <c r="K127" s="15"/>
    </row>
    <row r="128" spans="1:11" ht="15" customHeight="1" x14ac:dyDescent="0.35">
      <c r="A128" s="15"/>
      <c r="B128" s="15"/>
      <c r="C128" s="15"/>
      <c r="D128" s="15"/>
      <c r="E128" s="15"/>
      <c r="F128" s="15"/>
      <c r="G128" s="15"/>
      <c r="H128" s="15"/>
      <c r="I128" s="15"/>
      <c r="J128" s="15"/>
      <c r="K128" s="15"/>
    </row>
    <row r="129" spans="1:12" ht="15" customHeight="1" x14ac:dyDescent="0.35">
      <c r="A129" s="15"/>
      <c r="B129" s="15"/>
      <c r="C129" s="15"/>
      <c r="D129" s="15"/>
      <c r="E129" s="15"/>
      <c r="F129" s="15"/>
      <c r="G129" s="15"/>
      <c r="H129" s="15"/>
      <c r="I129" s="15"/>
      <c r="J129" s="15"/>
      <c r="K129" s="15"/>
    </row>
    <row r="130" spans="1:12" ht="19.5" customHeight="1" x14ac:dyDescent="0.35">
      <c r="A130" s="7" t="s">
        <v>26</v>
      </c>
      <c r="B130" s="7"/>
      <c r="C130" s="7"/>
      <c r="D130" s="7"/>
      <c r="E130" s="7"/>
      <c r="F130" s="7"/>
      <c r="G130" s="7"/>
      <c r="H130" s="7"/>
      <c r="I130" s="7"/>
      <c r="J130" s="7"/>
      <c r="K130" s="7"/>
      <c r="L130" s="7"/>
    </row>
    <row r="131" spans="1:12" ht="15" customHeight="1" x14ac:dyDescent="0.35">
      <c r="A131" s="15"/>
      <c r="B131" s="15"/>
      <c r="C131" s="15"/>
      <c r="D131" s="15"/>
      <c r="E131" s="15"/>
      <c r="F131" s="15"/>
      <c r="G131" s="15"/>
      <c r="H131" s="15"/>
      <c r="I131" s="15"/>
      <c r="J131" s="15"/>
      <c r="K131" s="15"/>
    </row>
    <row r="132" spans="1:12" ht="15" customHeight="1" x14ac:dyDescent="0.35">
      <c r="A132" s="23" t="s">
        <v>27</v>
      </c>
      <c r="B132" s="15"/>
      <c r="C132" s="15"/>
      <c r="D132" s="15"/>
      <c r="E132" s="15"/>
      <c r="F132" s="15"/>
      <c r="G132" s="15"/>
      <c r="H132" s="15"/>
      <c r="I132" s="15"/>
      <c r="J132" s="15"/>
      <c r="K132" s="15"/>
    </row>
    <row r="133" spans="1:12" ht="15" customHeight="1" x14ac:dyDescent="0.35">
      <c r="A133" s="15"/>
      <c r="B133" s="15"/>
      <c r="C133" s="15"/>
      <c r="D133" s="15"/>
      <c r="E133" s="15"/>
      <c r="F133" s="15"/>
      <c r="G133" s="15"/>
      <c r="H133" s="15"/>
      <c r="I133" s="15"/>
      <c r="J133" s="15"/>
      <c r="K133" s="15"/>
    </row>
    <row r="134" spans="1:12" ht="15" customHeight="1" x14ac:dyDescent="0.35">
      <c r="A134" s="23" t="s">
        <v>28</v>
      </c>
      <c r="B134" s="15"/>
      <c r="C134" s="15"/>
      <c r="D134" s="15"/>
      <c r="E134" s="15"/>
      <c r="F134" s="15"/>
      <c r="G134" s="15"/>
      <c r="H134" s="15"/>
      <c r="I134" s="15"/>
      <c r="J134" s="15"/>
      <c r="K134" s="15"/>
    </row>
    <row r="135" spans="1:12" ht="15" customHeight="1" x14ac:dyDescent="0.35">
      <c r="A135" s="20" t="s">
        <v>29</v>
      </c>
      <c r="B135" s="20" t="s">
        <v>30</v>
      </c>
      <c r="C135" s="15"/>
      <c r="D135" s="15"/>
      <c r="E135" s="15"/>
      <c r="F135" s="15"/>
      <c r="G135" s="15"/>
      <c r="H135" s="15"/>
      <c r="I135" s="15"/>
      <c r="J135" s="15"/>
      <c r="K135" s="15"/>
    </row>
    <row r="136" spans="1:12" ht="15" customHeight="1" x14ac:dyDescent="0.35">
      <c r="A136" s="24" t="s">
        <v>31</v>
      </c>
      <c r="B136" s="24">
        <f>COUNTIF('Risk Register'!$J$5:$J$19,"Critical")</f>
        <v>2</v>
      </c>
      <c r="C136" s="15"/>
      <c r="D136" s="15"/>
      <c r="E136" s="15"/>
      <c r="F136" s="15"/>
      <c r="G136" s="15"/>
      <c r="H136" s="15"/>
      <c r="I136" s="15"/>
      <c r="J136" s="15"/>
      <c r="K136" s="15"/>
    </row>
    <row r="137" spans="1:12" ht="15" customHeight="1" x14ac:dyDescent="0.35">
      <c r="A137" s="24" t="s">
        <v>32</v>
      </c>
      <c r="B137" s="24">
        <f>COUNTIF('Risk Register'!$J$5:$J$19,"High")</f>
        <v>13</v>
      </c>
      <c r="C137" s="15"/>
      <c r="D137" s="15"/>
      <c r="E137" s="15"/>
      <c r="F137" s="15"/>
      <c r="G137" s="15"/>
      <c r="H137" s="15"/>
      <c r="I137" s="15"/>
      <c r="J137" s="15"/>
      <c r="K137" s="15"/>
    </row>
    <row r="138" spans="1:12" ht="15" customHeight="1" x14ac:dyDescent="0.35">
      <c r="A138" s="24" t="s">
        <v>33</v>
      </c>
      <c r="B138" s="24">
        <f>COUNTIF('Risk Register'!$J$5:$J$19,"Medium")</f>
        <v>0</v>
      </c>
      <c r="C138" s="15"/>
      <c r="D138" s="15"/>
      <c r="E138" s="15"/>
      <c r="F138" s="15"/>
      <c r="G138" s="15"/>
      <c r="H138" s="15"/>
      <c r="I138" s="15"/>
      <c r="J138" s="15"/>
      <c r="K138" s="15"/>
    </row>
    <row r="139" spans="1:12" ht="15" customHeight="1" x14ac:dyDescent="0.35">
      <c r="A139" s="24" t="s">
        <v>34</v>
      </c>
      <c r="B139" s="24">
        <f>COUNTIF('Risk Register'!$J$5:$J$19,"Low")</f>
        <v>0</v>
      </c>
      <c r="C139" s="15"/>
      <c r="D139" s="15"/>
      <c r="E139" s="15"/>
      <c r="F139" s="15"/>
      <c r="G139" s="15"/>
      <c r="H139" s="15"/>
      <c r="I139" s="15"/>
      <c r="J139" s="15"/>
      <c r="K139" s="15"/>
    </row>
    <row r="140" spans="1:12" ht="15" customHeight="1" x14ac:dyDescent="0.35">
      <c r="A140" s="15"/>
      <c r="B140" s="15"/>
      <c r="C140" s="15"/>
      <c r="D140" s="15"/>
      <c r="E140" s="15"/>
      <c r="F140" s="15"/>
      <c r="G140" s="15"/>
      <c r="H140" s="15"/>
      <c r="I140" s="15"/>
      <c r="J140" s="15"/>
      <c r="K140" s="15"/>
    </row>
    <row r="141" spans="1:12" ht="15" customHeight="1" x14ac:dyDescent="0.35">
      <c r="A141" s="15"/>
      <c r="B141" s="15"/>
      <c r="C141" s="15"/>
      <c r="D141" s="15"/>
      <c r="E141" s="15"/>
      <c r="F141" s="15"/>
      <c r="G141" s="15"/>
      <c r="H141" s="15"/>
      <c r="I141" s="15"/>
      <c r="J141" s="15"/>
      <c r="K141" s="15"/>
    </row>
    <row r="142" spans="1:12" ht="15" customHeight="1" x14ac:dyDescent="0.35">
      <c r="A142" s="23" t="s">
        <v>35</v>
      </c>
      <c r="B142" s="15"/>
      <c r="C142" s="15"/>
      <c r="D142" s="15"/>
      <c r="E142" s="15"/>
      <c r="F142" s="15"/>
      <c r="G142" s="15"/>
      <c r="H142" s="15"/>
      <c r="I142" s="15"/>
      <c r="J142" s="15"/>
      <c r="K142" s="15"/>
    </row>
    <row r="143" spans="1:12" ht="15" customHeight="1" x14ac:dyDescent="0.35">
      <c r="A143" s="20" t="s">
        <v>36</v>
      </c>
      <c r="B143" s="20" t="s">
        <v>37</v>
      </c>
      <c r="C143" s="15"/>
      <c r="D143" s="15"/>
      <c r="E143" s="15"/>
      <c r="F143" s="15"/>
      <c r="G143" s="15"/>
      <c r="H143" s="15"/>
      <c r="I143" s="15"/>
      <c r="J143" s="15"/>
      <c r="K143" s="15"/>
    </row>
    <row r="144" spans="1:12" ht="15" customHeight="1" x14ac:dyDescent="0.35">
      <c r="A144" s="24" t="s">
        <v>38</v>
      </c>
      <c r="B144" s="24">
        <f>COUNTIF('Risk Register'!$C$5:$C$19,"Access Control")</f>
        <v>4</v>
      </c>
      <c r="C144" s="15"/>
      <c r="D144" s="15"/>
      <c r="E144" s="15"/>
      <c r="F144" s="15"/>
      <c r="G144" s="15"/>
      <c r="H144" s="15"/>
      <c r="I144" s="15"/>
      <c r="J144" s="15"/>
      <c r="K144" s="15"/>
    </row>
    <row r="145" spans="1:11" ht="15" customHeight="1" x14ac:dyDescent="0.35">
      <c r="A145" s="24" t="s">
        <v>39</v>
      </c>
      <c r="B145" s="24">
        <f>COUNTIF('Risk Register'!$C$5:$C$19,"Application Security")</f>
        <v>2</v>
      </c>
      <c r="C145" s="15"/>
      <c r="D145" s="15"/>
      <c r="E145" s="15"/>
      <c r="F145" s="15"/>
      <c r="G145" s="15"/>
      <c r="H145" s="15"/>
      <c r="I145" s="15"/>
      <c r="J145" s="15"/>
      <c r="K145" s="15"/>
    </row>
    <row r="146" spans="1:11" ht="15" customHeight="1" x14ac:dyDescent="0.35">
      <c r="A146" s="24" t="s">
        <v>40</v>
      </c>
      <c r="B146" s="24">
        <f>COUNTIF('Risk Register'!$C$5:$C$19,"Cloud Security")</f>
        <v>1</v>
      </c>
      <c r="C146" s="15"/>
      <c r="D146" s="15"/>
      <c r="E146" s="15"/>
      <c r="F146" s="15"/>
      <c r="G146" s="15"/>
      <c r="H146" s="15"/>
      <c r="I146" s="15"/>
      <c r="J146" s="15"/>
      <c r="K146" s="15"/>
    </row>
    <row r="147" spans="1:11" ht="15" customHeight="1" x14ac:dyDescent="0.35">
      <c r="A147" s="24" t="s">
        <v>41</v>
      </c>
      <c r="B147" s="24">
        <f>COUNTIF('Risk Register'!$C$5:$C$19,"Endpoint Security")</f>
        <v>2</v>
      </c>
      <c r="C147" s="15"/>
      <c r="D147" s="15"/>
      <c r="E147" s="15"/>
      <c r="F147" s="15"/>
      <c r="G147" s="15"/>
      <c r="H147" s="15"/>
      <c r="I147" s="15"/>
      <c r="J147" s="15"/>
      <c r="K147" s="15"/>
    </row>
    <row r="148" spans="1:11" ht="15" customHeight="1" x14ac:dyDescent="0.35">
      <c r="A148" s="24" t="s">
        <v>42</v>
      </c>
      <c r="B148" s="24">
        <f>COUNTIF('Risk Register'!$C$5:$C$19,"Data Security")</f>
        <v>1</v>
      </c>
      <c r="C148" s="15"/>
      <c r="D148" s="15"/>
      <c r="E148" s="15"/>
      <c r="F148" s="15"/>
      <c r="G148" s="15"/>
      <c r="H148" s="15"/>
      <c r="I148" s="15"/>
      <c r="J148" s="15"/>
      <c r="K148" s="15"/>
    </row>
    <row r="149" spans="1:11" ht="15" customHeight="1" x14ac:dyDescent="0.35">
      <c r="A149" s="24" t="s">
        <v>43</v>
      </c>
      <c r="B149" s="24">
        <f>COUNTIF('Risk Register'!$C$5:$C$19,"Business Continuity")</f>
        <v>1</v>
      </c>
      <c r="C149" s="15"/>
      <c r="D149" s="15"/>
      <c r="E149" s="15"/>
      <c r="F149" s="15"/>
      <c r="G149" s="15"/>
      <c r="H149" s="15"/>
      <c r="I149" s="15"/>
      <c r="J149" s="15"/>
      <c r="K149" s="15"/>
    </row>
    <row r="150" spans="1:11" ht="15" customHeight="1" x14ac:dyDescent="0.35">
      <c r="A150" s="24" t="s">
        <v>44</v>
      </c>
      <c r="B150" s="24">
        <f>COUNTIF('Risk Register'!$C$5:$C$19,"Availability")</f>
        <v>1</v>
      </c>
      <c r="C150" s="15"/>
      <c r="D150" s="15"/>
      <c r="E150" s="15"/>
      <c r="F150" s="15"/>
      <c r="G150" s="15"/>
      <c r="H150" s="15"/>
      <c r="I150" s="15"/>
      <c r="J150" s="15"/>
      <c r="K150" s="15"/>
    </row>
    <row r="151" spans="1:11" ht="15" customHeight="1" x14ac:dyDescent="0.35">
      <c r="A151" s="24" t="s">
        <v>45</v>
      </c>
      <c r="B151" s="24">
        <f>COUNTIF('Risk Register'!$C$5:$C$19,"Network Security")</f>
        <v>1</v>
      </c>
      <c r="C151" s="15"/>
      <c r="D151" s="15"/>
      <c r="E151" s="15"/>
      <c r="F151" s="15"/>
      <c r="G151" s="15"/>
      <c r="H151" s="15"/>
      <c r="I151" s="15"/>
      <c r="J151" s="15"/>
      <c r="K151" s="15"/>
    </row>
    <row r="152" spans="1:11" ht="15" customHeight="1" x14ac:dyDescent="0.35">
      <c r="A152" s="24" t="s">
        <v>46</v>
      </c>
      <c r="B152" s="24">
        <f>COUNTIF('Risk Register'!$C$5:$C$19,"Vulnerability Management")</f>
        <v>1</v>
      </c>
      <c r="C152" s="15"/>
      <c r="D152" s="15"/>
      <c r="E152" s="15"/>
      <c r="F152" s="15"/>
      <c r="G152" s="15"/>
      <c r="H152" s="15"/>
      <c r="I152" s="15"/>
      <c r="J152" s="15"/>
      <c r="K152" s="15"/>
    </row>
    <row r="153" spans="1:11" ht="15" customHeight="1" x14ac:dyDescent="0.35">
      <c r="A153" s="24" t="s">
        <v>47</v>
      </c>
      <c r="B153" s="24">
        <f>COUNTIF('Risk Register'!$C$5:$C$19,"Incident Management")</f>
        <v>1</v>
      </c>
      <c r="C153" s="15"/>
      <c r="D153" s="15"/>
      <c r="E153" s="15"/>
      <c r="F153" s="15"/>
      <c r="G153" s="15"/>
      <c r="H153" s="15"/>
      <c r="I153" s="15"/>
      <c r="J153" s="15"/>
      <c r="K153" s="15"/>
    </row>
    <row r="154" spans="1:11" ht="15" customHeight="1" x14ac:dyDescent="0.35">
      <c r="A154" s="15"/>
      <c r="B154" s="15"/>
      <c r="C154" s="15"/>
      <c r="D154" s="15"/>
      <c r="E154" s="15"/>
      <c r="F154" s="15"/>
      <c r="G154" s="15"/>
      <c r="H154" s="15"/>
      <c r="I154" s="15"/>
      <c r="J154" s="15"/>
      <c r="K154" s="15"/>
    </row>
    <row r="155" spans="1:11" ht="15" customHeight="1" x14ac:dyDescent="0.35">
      <c r="A155" s="15"/>
      <c r="B155" s="15"/>
      <c r="C155" s="15"/>
      <c r="D155" s="15"/>
      <c r="E155" s="15"/>
      <c r="F155" s="15"/>
      <c r="G155" s="15"/>
      <c r="H155" s="15"/>
      <c r="I155" s="15"/>
      <c r="J155" s="15"/>
      <c r="K155" s="15"/>
    </row>
    <row r="156" spans="1:11" ht="15" customHeight="1" x14ac:dyDescent="0.35">
      <c r="A156" s="23" t="s">
        <v>48</v>
      </c>
      <c r="B156" s="15"/>
      <c r="C156" s="15"/>
      <c r="D156" s="15"/>
      <c r="E156" s="15"/>
      <c r="F156" s="15"/>
      <c r="G156" s="15"/>
      <c r="H156" s="15"/>
      <c r="I156" s="15"/>
      <c r="J156" s="15"/>
      <c r="K156" s="15"/>
    </row>
    <row r="157" spans="1:11" ht="15" customHeight="1" x14ac:dyDescent="0.35">
      <c r="A157" s="20" t="s">
        <v>49</v>
      </c>
      <c r="B157" s="20" t="s">
        <v>30</v>
      </c>
      <c r="C157" s="15"/>
      <c r="D157" s="15"/>
      <c r="E157" s="15"/>
      <c r="F157" s="15"/>
      <c r="G157" s="15"/>
      <c r="H157" s="15"/>
      <c r="I157" s="15"/>
      <c r="J157" s="15"/>
      <c r="K157" s="15"/>
    </row>
    <row r="158" spans="1:11" ht="15" customHeight="1" x14ac:dyDescent="0.35">
      <c r="A158" s="24" t="s">
        <v>50</v>
      </c>
      <c r="B158" s="24">
        <f>COUNTIF('Control Inventory'!$G$5:$G$19,"Implemented")</f>
        <v>7</v>
      </c>
      <c r="C158" s="15"/>
      <c r="D158" s="15"/>
      <c r="E158" s="15"/>
      <c r="F158" s="15"/>
      <c r="G158" s="15"/>
      <c r="H158" s="15"/>
      <c r="I158" s="15"/>
      <c r="J158" s="15"/>
      <c r="K158" s="15"/>
    </row>
    <row r="159" spans="1:11" ht="15" customHeight="1" x14ac:dyDescent="0.35">
      <c r="A159" s="24" t="s">
        <v>51</v>
      </c>
      <c r="B159" s="24">
        <f>COUNTIF('Control Inventory'!$G$5:$G$19,"Partially Implemented")</f>
        <v>8</v>
      </c>
      <c r="C159" s="15"/>
      <c r="D159" s="15"/>
      <c r="E159" s="15"/>
      <c r="F159" s="15"/>
      <c r="G159" s="15"/>
      <c r="H159" s="15"/>
      <c r="I159" s="15"/>
      <c r="J159" s="15"/>
      <c r="K159" s="15"/>
    </row>
    <row r="160" spans="1:11" ht="15" customHeight="1" x14ac:dyDescent="0.35">
      <c r="A160" s="24" t="s">
        <v>52</v>
      </c>
      <c r="B160" s="24">
        <f>COUNTIF('Control Inventory'!$G$5:$G$19,"Not Implemented")</f>
        <v>0</v>
      </c>
      <c r="C160" s="15"/>
      <c r="D160" s="15"/>
      <c r="E160" s="15"/>
      <c r="F160" s="15"/>
      <c r="G160" s="15"/>
      <c r="H160" s="15"/>
      <c r="I160" s="15"/>
      <c r="J160" s="15"/>
      <c r="K160" s="15"/>
    </row>
    <row r="161" spans="1:11" ht="15" customHeight="1" x14ac:dyDescent="0.35">
      <c r="A161" s="15"/>
      <c r="B161" s="15"/>
      <c r="C161" s="15"/>
      <c r="D161" s="15"/>
      <c r="E161" s="15"/>
      <c r="F161" s="15"/>
      <c r="G161" s="15"/>
      <c r="H161" s="15"/>
      <c r="I161" s="15"/>
      <c r="J161" s="15"/>
      <c r="K161" s="15"/>
    </row>
    <row r="162" spans="1:11" ht="15" customHeight="1" x14ac:dyDescent="0.35">
      <c r="A162" s="15"/>
      <c r="B162" s="15"/>
      <c r="C162" s="15"/>
      <c r="D162" s="15"/>
      <c r="E162" s="15"/>
      <c r="F162" s="15"/>
      <c r="G162" s="15"/>
      <c r="H162" s="15"/>
      <c r="I162" s="15"/>
      <c r="J162" s="15"/>
      <c r="K162" s="15"/>
    </row>
    <row r="163" spans="1:11" ht="15" customHeight="1" x14ac:dyDescent="0.35">
      <c r="A163" s="23" t="s">
        <v>53</v>
      </c>
      <c r="B163" s="15"/>
      <c r="C163" s="15"/>
      <c r="D163" s="15"/>
      <c r="E163" s="15"/>
      <c r="F163" s="15"/>
      <c r="G163" s="15"/>
      <c r="H163" s="15"/>
      <c r="I163" s="15"/>
      <c r="J163" s="15"/>
      <c r="K163" s="15"/>
    </row>
    <row r="164" spans="1:11" ht="15" customHeight="1" x14ac:dyDescent="0.35">
      <c r="A164" s="20" t="s">
        <v>54</v>
      </c>
      <c r="B164" s="20" t="s">
        <v>30</v>
      </c>
      <c r="C164" s="15"/>
      <c r="D164" s="15"/>
      <c r="E164" s="15"/>
      <c r="F164" s="15"/>
      <c r="G164" s="15"/>
      <c r="H164" s="15"/>
      <c r="I164" s="15"/>
      <c r="J164" s="15"/>
      <c r="K164" s="15"/>
    </row>
    <row r="165" spans="1:11" ht="15" customHeight="1" x14ac:dyDescent="0.35">
      <c r="A165" s="24" t="s">
        <v>55</v>
      </c>
      <c r="B165" s="24">
        <f>COUNTIF('Remediation Plan'!$H$5:$H$14,"Open")</f>
        <v>9</v>
      </c>
      <c r="C165" s="15"/>
      <c r="D165" s="15"/>
      <c r="E165" s="15"/>
      <c r="F165" s="15"/>
      <c r="G165" s="15"/>
      <c r="H165" s="15"/>
      <c r="I165" s="15"/>
      <c r="J165" s="15"/>
      <c r="K165" s="15"/>
    </row>
    <row r="166" spans="1:11" ht="15" customHeight="1" x14ac:dyDescent="0.35">
      <c r="A166" s="24" t="s">
        <v>56</v>
      </c>
      <c r="B166" s="24">
        <f>COUNTIF('Remediation Plan'!$H$5:$H$14,"In Progress")</f>
        <v>1</v>
      </c>
      <c r="C166" s="15"/>
      <c r="D166" s="15"/>
      <c r="E166" s="15"/>
      <c r="F166" s="15"/>
      <c r="G166" s="15"/>
      <c r="H166" s="15"/>
      <c r="I166" s="15"/>
      <c r="J166" s="15"/>
      <c r="K166" s="15"/>
    </row>
    <row r="167" spans="1:11" ht="15" customHeight="1" x14ac:dyDescent="0.35">
      <c r="A167" s="24" t="s">
        <v>57</v>
      </c>
      <c r="B167" s="24">
        <f>COUNTIF('Remediation Plan'!$H$5:$H$14,"Closed")</f>
        <v>0</v>
      </c>
      <c r="C167" s="15"/>
      <c r="D167" s="15"/>
      <c r="E167" s="15"/>
      <c r="F167" s="15"/>
      <c r="G167" s="15"/>
      <c r="H167" s="15"/>
      <c r="I167" s="15"/>
      <c r="J167" s="15"/>
      <c r="K167" s="15"/>
    </row>
    <row r="168" spans="1:11" ht="15" customHeight="1" x14ac:dyDescent="0.35">
      <c r="A168" s="15"/>
      <c r="B168" s="15"/>
      <c r="C168" s="15"/>
      <c r="D168" s="15"/>
      <c r="E168" s="15"/>
      <c r="F168" s="15"/>
      <c r="G168" s="15"/>
      <c r="H168" s="15"/>
      <c r="I168" s="15"/>
      <c r="J168" s="15"/>
      <c r="K168" s="15"/>
    </row>
    <row r="169" spans="1:11" ht="15" customHeight="1" x14ac:dyDescent="0.35">
      <c r="A169" s="15"/>
      <c r="B169" s="15"/>
      <c r="C169" s="15"/>
      <c r="D169" s="15"/>
      <c r="E169" s="15"/>
      <c r="F169" s="15"/>
      <c r="G169" s="15"/>
      <c r="H169" s="15"/>
      <c r="I169" s="15"/>
      <c r="J169" s="15"/>
      <c r="K169" s="15"/>
    </row>
    <row r="170" spans="1:11" ht="15" customHeight="1" x14ac:dyDescent="0.35">
      <c r="A170" s="23" t="s">
        <v>58</v>
      </c>
      <c r="B170" s="15"/>
      <c r="C170" s="15"/>
      <c r="D170" s="15"/>
      <c r="E170" s="15"/>
      <c r="F170" s="15"/>
      <c r="G170" s="15"/>
      <c r="H170" s="15"/>
      <c r="I170" s="15"/>
      <c r="J170" s="15"/>
      <c r="K170" s="15"/>
    </row>
    <row r="171" spans="1:11" ht="15" customHeight="1" x14ac:dyDescent="0.35">
      <c r="A171" s="20" t="s">
        <v>18</v>
      </c>
      <c r="B171" s="20" t="s">
        <v>59</v>
      </c>
      <c r="C171" s="15"/>
      <c r="D171" s="15"/>
      <c r="E171" s="15"/>
      <c r="F171" s="15"/>
      <c r="G171" s="15"/>
      <c r="H171" s="15"/>
      <c r="I171" s="15"/>
      <c r="J171" s="15"/>
      <c r="K171" s="15"/>
    </row>
    <row r="172" spans="1:11" ht="15" customHeight="1" x14ac:dyDescent="0.35">
      <c r="A172" s="24" t="s">
        <v>60</v>
      </c>
      <c r="B172" s="24">
        <f>COUNTIF('Risk Register'!$L$5:$L$19,"Mitigate")</f>
        <v>15</v>
      </c>
      <c r="C172" s="15"/>
      <c r="D172" s="15"/>
      <c r="E172" s="15"/>
      <c r="F172" s="15"/>
      <c r="G172" s="15"/>
      <c r="H172" s="15"/>
      <c r="I172" s="15"/>
      <c r="J172" s="15"/>
      <c r="K172" s="15"/>
    </row>
    <row r="173" spans="1:11" ht="15" customHeight="1" x14ac:dyDescent="0.35">
      <c r="A173" s="24" t="s">
        <v>61</v>
      </c>
      <c r="B173" s="24">
        <f>COUNTIF('Risk Register'!$L$5:$L$19,"Avoid")</f>
        <v>0</v>
      </c>
      <c r="C173" s="15"/>
      <c r="D173" s="15"/>
      <c r="E173" s="15"/>
      <c r="F173" s="15"/>
      <c r="G173" s="15"/>
      <c r="H173" s="15"/>
      <c r="I173" s="15"/>
      <c r="J173" s="15"/>
      <c r="K173" s="15"/>
    </row>
    <row r="174" spans="1:11" ht="15" customHeight="1" x14ac:dyDescent="0.35">
      <c r="A174" s="24" t="s">
        <v>62</v>
      </c>
      <c r="B174" s="24">
        <f>COUNTIF('Risk Register'!$L$5:$L$19,"Transfer")</f>
        <v>0</v>
      </c>
      <c r="C174" s="15"/>
      <c r="D174" s="15"/>
      <c r="E174" s="15"/>
      <c r="F174" s="15"/>
      <c r="G174" s="15"/>
      <c r="H174" s="15"/>
      <c r="I174" s="15"/>
      <c r="J174" s="15"/>
      <c r="K174" s="15"/>
    </row>
    <row r="175" spans="1:11" ht="15" customHeight="1" x14ac:dyDescent="0.35">
      <c r="A175" s="24" t="s">
        <v>63</v>
      </c>
      <c r="B175" s="24">
        <f>COUNTIF('Risk Register'!$L$5:$L$19,"Accept")</f>
        <v>0</v>
      </c>
      <c r="C175" s="15"/>
      <c r="D175" s="15"/>
      <c r="E175" s="15"/>
      <c r="F175" s="15"/>
      <c r="G175" s="15"/>
      <c r="H175" s="15"/>
      <c r="I175" s="15"/>
      <c r="J175" s="15"/>
      <c r="K175" s="15"/>
    </row>
    <row r="176" spans="1:11" ht="15" customHeight="1" x14ac:dyDescent="0.35">
      <c r="A176" s="15"/>
      <c r="B176" s="15"/>
      <c r="C176" s="15"/>
      <c r="D176" s="15"/>
      <c r="E176" s="15"/>
      <c r="F176" s="15"/>
      <c r="G176" s="15"/>
      <c r="H176" s="15"/>
      <c r="I176" s="15"/>
      <c r="J176" s="15"/>
      <c r="K176" s="15"/>
    </row>
    <row r="177" spans="1:11" ht="15" customHeight="1" x14ac:dyDescent="0.35">
      <c r="A177" s="15"/>
      <c r="B177" s="15"/>
      <c r="C177" s="15"/>
      <c r="D177" s="15"/>
      <c r="E177" s="15"/>
      <c r="F177" s="15"/>
      <c r="G177" s="15"/>
      <c r="H177" s="15"/>
      <c r="I177" s="15"/>
      <c r="J177" s="15"/>
      <c r="K177" s="15"/>
    </row>
    <row r="178" spans="1:11" ht="15" customHeight="1" x14ac:dyDescent="0.35">
      <c r="A178" s="23" t="s">
        <v>64</v>
      </c>
      <c r="B178" s="15"/>
      <c r="C178" s="15"/>
      <c r="D178" s="15"/>
      <c r="E178" s="15"/>
      <c r="F178" s="15"/>
      <c r="G178" s="15"/>
      <c r="H178" s="15"/>
      <c r="I178" s="15"/>
      <c r="J178" s="15"/>
      <c r="K178" s="15"/>
    </row>
    <row r="179" spans="1:11" ht="15" customHeight="1" x14ac:dyDescent="0.35">
      <c r="A179" s="20" t="s">
        <v>54</v>
      </c>
      <c r="B179" s="20" t="s">
        <v>30</v>
      </c>
      <c r="C179" s="15"/>
      <c r="D179" s="15"/>
      <c r="E179" s="15"/>
      <c r="F179" s="15"/>
      <c r="G179" s="15"/>
      <c r="H179" s="15"/>
      <c r="I179" s="15"/>
      <c r="J179" s="15"/>
      <c r="K179" s="15"/>
    </row>
    <row r="180" spans="1:11" ht="15" customHeight="1" x14ac:dyDescent="0.35">
      <c r="A180" s="24" t="s">
        <v>50</v>
      </c>
      <c r="B180" s="24">
        <f>COUNTIF('ISO 27001 Gap Assessment'!$D$5:$D$16,"Implemented")</f>
        <v>4</v>
      </c>
      <c r="C180" s="15"/>
      <c r="D180" s="15"/>
      <c r="E180" s="15"/>
      <c r="F180" s="15"/>
      <c r="G180" s="15"/>
      <c r="H180" s="15"/>
      <c r="I180" s="15"/>
      <c r="J180" s="15"/>
      <c r="K180" s="15"/>
    </row>
    <row r="181" spans="1:11" ht="15" customHeight="1" x14ac:dyDescent="0.35">
      <c r="A181" s="24" t="s">
        <v>51</v>
      </c>
      <c r="B181" s="24">
        <f>COUNTIF('ISO 27001 Gap Assessment'!$D$5:$D$16,"Partially Implemented")</f>
        <v>8</v>
      </c>
      <c r="C181" s="15"/>
      <c r="D181" s="15"/>
      <c r="E181" s="15"/>
      <c r="F181" s="15"/>
      <c r="G181" s="15"/>
      <c r="H181" s="15"/>
      <c r="I181" s="15"/>
      <c r="J181" s="15"/>
      <c r="K181" s="15"/>
    </row>
    <row r="182" spans="1:11" ht="15" customHeight="1" x14ac:dyDescent="0.35">
      <c r="A182" s="24" t="s">
        <v>52</v>
      </c>
      <c r="B182" s="24">
        <f>COUNTIF('ISO 27001 Gap Assessment'!$D$5:$D$16,"Not Implemented")</f>
        <v>0</v>
      </c>
      <c r="C182" s="15"/>
      <c r="D182" s="15"/>
      <c r="E182" s="15"/>
      <c r="F182" s="15"/>
      <c r="G182" s="15"/>
      <c r="H182" s="15"/>
      <c r="I182" s="15"/>
      <c r="J182" s="15"/>
      <c r="K182" s="15"/>
    </row>
    <row r="183" spans="1:11" ht="15" customHeight="1" x14ac:dyDescent="0.35">
      <c r="A183" s="15"/>
      <c r="B183" s="15"/>
      <c r="C183" s="15"/>
      <c r="D183" s="15"/>
      <c r="E183" s="15"/>
      <c r="F183" s="15"/>
      <c r="G183" s="15"/>
      <c r="H183" s="15"/>
      <c r="I183" s="15"/>
      <c r="J183" s="15"/>
      <c r="K183" s="15"/>
    </row>
    <row r="184" spans="1:11" ht="15" customHeight="1" x14ac:dyDescent="0.35">
      <c r="A184" s="18" t="s">
        <v>65</v>
      </c>
      <c r="B184" s="15"/>
      <c r="C184" s="15"/>
      <c r="D184" s="25">
        <f>B180/COUNTA('ISO 27001 Gap Assessment'!$A$5:$A$16)</f>
        <v>0.33333333333333331</v>
      </c>
      <c r="E184" s="15"/>
      <c r="F184" s="15"/>
      <c r="G184" s="15"/>
      <c r="H184" s="15"/>
      <c r="I184" s="15"/>
      <c r="J184" s="15"/>
      <c r="K184" s="15"/>
    </row>
  </sheetData>
  <mergeCells count="22">
    <mergeCell ref="A75:L75"/>
    <mergeCell ref="A130:L130"/>
    <mergeCell ref="K7:L7"/>
    <mergeCell ref="A9:L9"/>
    <mergeCell ref="A62:L62"/>
    <mergeCell ref="A65:L65"/>
    <mergeCell ref="A74:L74"/>
    <mergeCell ref="A7:B7"/>
    <mergeCell ref="C7:D7"/>
    <mergeCell ref="E7:F7"/>
    <mergeCell ref="G7:H7"/>
    <mergeCell ref="I7:J7"/>
    <mergeCell ref="A1:L1"/>
    <mergeCell ref="A2:L2"/>
    <mergeCell ref="A3:L3"/>
    <mergeCell ref="A4:L4"/>
    <mergeCell ref="A6:B6"/>
    <mergeCell ref="C6:D6"/>
    <mergeCell ref="E6:F6"/>
    <mergeCell ref="G6:H6"/>
    <mergeCell ref="I6:J6"/>
    <mergeCell ref="K6:L6"/>
  </mergeCells>
  <conditionalFormatting sqref="D67:D71">
    <cfRule type="expression" dxfId="22" priority="2">
      <formula>EXACT($D67,"Critical")</formula>
    </cfRule>
    <cfRule type="expression" dxfId="21" priority="3">
      <formula>EXACT($D67,"High")</formula>
    </cfRule>
    <cfRule type="expression" dxfId="20" priority="4">
      <formula>EXACT($D67,"Medium")</formula>
    </cfRule>
    <cfRule type="expression" dxfId="19" priority="5">
      <formula>EXACT($D67,"Critical")</formula>
    </cfRule>
    <cfRule type="expression" dxfId="18" priority="6">
      <formula>EXACT($D67,"High")</formula>
    </cfRule>
    <cfRule type="expression" dxfId="17" priority="7">
      <formula>EXACT($D67,"Medium")</formula>
    </cfRule>
    <cfRule type="expression" dxfId="16" priority="8">
      <formula>EXACT($D67,"Low")</formula>
    </cfRule>
  </conditionalFormatting>
  <pageMargins left="0.4" right="0.4" top="0.5" bottom="0.5" header="0.511811023622047" footer="0.511811023622047"/>
  <pageSetup fitToHeight="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242"/>
  <sheetViews>
    <sheetView showGridLines="0" tabSelected="1" zoomScale="76" zoomScaleNormal="100" workbookViewId="0">
      <pane ySplit="2" topLeftCell="A3" activePane="bottomLeft" state="frozen"/>
      <selection pane="bottomLeft" sqref="A1:D1"/>
    </sheetView>
  </sheetViews>
  <sheetFormatPr defaultColWidth="8.6328125" defaultRowHeight="14.5" x14ac:dyDescent="0.35"/>
  <cols>
    <col min="1" max="1" width="32" customWidth="1"/>
    <col min="2" max="4" width="34" customWidth="1"/>
  </cols>
  <sheetData>
    <row r="1" spans="1:4" ht="27.75" customHeight="1" x14ac:dyDescent="0.35">
      <c r="A1" s="13" t="s">
        <v>0</v>
      </c>
      <c r="B1" s="13"/>
      <c r="C1" s="13"/>
      <c r="D1" s="13"/>
    </row>
    <row r="2" spans="1:4" ht="15" customHeight="1" x14ac:dyDescent="0.35">
      <c r="A2" s="11" t="s">
        <v>66</v>
      </c>
      <c r="B2" s="11"/>
      <c r="C2" s="11"/>
      <c r="D2" s="11"/>
    </row>
    <row r="3" spans="1:4" ht="15" customHeight="1" x14ac:dyDescent="0.35">
      <c r="A3" s="15"/>
    </row>
    <row r="4" spans="1:4" ht="19.5" customHeight="1" x14ac:dyDescent="0.35">
      <c r="A4" s="7" t="s">
        <v>67</v>
      </c>
      <c r="B4" s="7"/>
      <c r="C4" s="7"/>
      <c r="D4" s="7"/>
    </row>
    <row r="5" spans="1:4" ht="30" customHeight="1" x14ac:dyDescent="0.35">
      <c r="A5" s="26" t="s">
        <v>68</v>
      </c>
      <c r="B5" s="5" t="s">
        <v>69</v>
      </c>
      <c r="C5" s="5"/>
      <c r="D5" s="5"/>
    </row>
    <row r="6" spans="1:4" ht="15" customHeight="1" x14ac:dyDescent="0.35">
      <c r="A6" s="26" t="s">
        <v>70</v>
      </c>
      <c r="B6" s="5" t="s">
        <v>71</v>
      </c>
      <c r="C6" s="5"/>
      <c r="D6" s="5"/>
    </row>
    <row r="7" spans="1:4" ht="15" customHeight="1" x14ac:dyDescent="0.35">
      <c r="A7" s="26" t="s">
        <v>72</v>
      </c>
      <c r="B7" s="5" t="s">
        <v>73</v>
      </c>
      <c r="C7" s="5"/>
      <c r="D7" s="5"/>
    </row>
    <row r="8" spans="1:4" ht="15" customHeight="1" x14ac:dyDescent="0.35">
      <c r="A8" s="26" t="s">
        <v>74</v>
      </c>
      <c r="B8" s="5" t="s">
        <v>75</v>
      </c>
      <c r="C8" s="5"/>
      <c r="D8" s="5"/>
    </row>
    <row r="9" spans="1:4" ht="15" customHeight="1" x14ac:dyDescent="0.35">
      <c r="A9" s="26" t="s">
        <v>76</v>
      </c>
      <c r="B9" s="5" t="s">
        <v>77</v>
      </c>
      <c r="C9" s="5"/>
      <c r="D9" s="5"/>
    </row>
    <row r="10" spans="1:4" ht="15" customHeight="1" x14ac:dyDescent="0.35">
      <c r="A10" s="26" t="s">
        <v>78</v>
      </c>
      <c r="B10" s="5" t="s">
        <v>79</v>
      </c>
      <c r="C10" s="5"/>
      <c r="D10" s="5"/>
    </row>
    <row r="11" spans="1:4" ht="15" customHeight="1" x14ac:dyDescent="0.35">
      <c r="A11" s="26" t="s">
        <v>80</v>
      </c>
      <c r="B11" s="5" t="s">
        <v>81</v>
      </c>
      <c r="C11" s="5"/>
      <c r="D11" s="5"/>
    </row>
    <row r="12" spans="1:4" ht="15" customHeight="1" x14ac:dyDescent="0.35">
      <c r="A12" s="26" t="s">
        <v>82</v>
      </c>
      <c r="B12" s="5" t="s">
        <v>83</v>
      </c>
      <c r="C12" s="5"/>
      <c r="D12" s="5"/>
    </row>
    <row r="13" spans="1:4" ht="15" customHeight="1" x14ac:dyDescent="0.35">
      <c r="A13" s="26" t="s">
        <v>84</v>
      </c>
      <c r="B13" s="5" t="s">
        <v>85</v>
      </c>
      <c r="C13" s="5"/>
      <c r="D13" s="5"/>
    </row>
    <row r="14" spans="1:4" ht="15" customHeight="1" x14ac:dyDescent="0.35">
      <c r="A14" s="26" t="s">
        <v>86</v>
      </c>
      <c r="B14" s="5" t="s">
        <v>87</v>
      </c>
      <c r="C14" s="5"/>
      <c r="D14" s="5"/>
    </row>
    <row r="15" spans="1:4" ht="15" customHeight="1" x14ac:dyDescent="0.35">
      <c r="A15" s="26" t="s">
        <v>88</v>
      </c>
      <c r="B15" s="5" t="s">
        <v>89</v>
      </c>
      <c r="C15" s="5"/>
      <c r="D15" s="5"/>
    </row>
    <row r="16" spans="1:4" ht="15" customHeight="1" x14ac:dyDescent="0.35">
      <c r="A16" s="26" t="s">
        <v>90</v>
      </c>
      <c r="B16" s="5" t="s">
        <v>91</v>
      </c>
      <c r="C16" s="5"/>
      <c r="D16" s="5"/>
    </row>
    <row r="17" spans="1:4" ht="15" customHeight="1" x14ac:dyDescent="0.35">
      <c r="A17" s="26" t="s">
        <v>92</v>
      </c>
      <c r="B17" s="5" t="s">
        <v>93</v>
      </c>
      <c r="C17" s="5"/>
      <c r="D17" s="5"/>
    </row>
    <row r="18" spans="1:4" ht="15" customHeight="1" x14ac:dyDescent="0.35">
      <c r="A18" s="26" t="s">
        <v>94</v>
      </c>
      <c r="B18" s="5" t="s">
        <v>95</v>
      </c>
      <c r="C18" s="5"/>
      <c r="D18" s="5"/>
    </row>
    <row r="20" spans="1:4" ht="19.5" customHeight="1" x14ac:dyDescent="0.35">
      <c r="A20" s="7" t="s">
        <v>96</v>
      </c>
      <c r="B20" s="7"/>
      <c r="C20" s="7"/>
      <c r="D20" s="7"/>
    </row>
    <row r="21" spans="1:4" ht="42" customHeight="1" x14ac:dyDescent="0.35">
      <c r="A21" s="6" t="s">
        <v>97</v>
      </c>
      <c r="B21" s="6"/>
      <c r="C21" s="6"/>
      <c r="D21" s="6"/>
    </row>
    <row r="22" spans="1:4" ht="42" customHeight="1" x14ac:dyDescent="0.35">
      <c r="A22" s="6" t="s">
        <v>98</v>
      </c>
      <c r="B22" s="6"/>
      <c r="C22" s="6"/>
      <c r="D22" s="6"/>
    </row>
    <row r="24" spans="1:4" ht="19.5" customHeight="1" x14ac:dyDescent="0.35">
      <c r="A24" s="7" t="s">
        <v>99</v>
      </c>
      <c r="B24" s="7"/>
      <c r="C24" s="7"/>
      <c r="D24" s="7"/>
    </row>
    <row r="25" spans="1:4" ht="15" customHeight="1" x14ac:dyDescent="0.35">
      <c r="A25" s="6" t="s">
        <v>100</v>
      </c>
      <c r="B25" s="6"/>
      <c r="C25" s="6"/>
      <c r="D25" s="6"/>
    </row>
    <row r="26" spans="1:4" ht="15" customHeight="1" x14ac:dyDescent="0.35">
      <c r="A26" s="27" t="s">
        <v>101</v>
      </c>
      <c r="B26" s="27" t="s">
        <v>102</v>
      </c>
      <c r="C26" s="27" t="s">
        <v>103</v>
      </c>
      <c r="D26" s="27"/>
    </row>
    <row r="27" spans="1:4" ht="15" customHeight="1" x14ac:dyDescent="0.35">
      <c r="A27" s="22" t="s">
        <v>104</v>
      </c>
      <c r="B27" s="22" t="s">
        <v>105</v>
      </c>
      <c r="C27" s="22" t="s">
        <v>106</v>
      </c>
      <c r="D27" s="22"/>
    </row>
    <row r="28" spans="1:4" ht="15" customHeight="1" x14ac:dyDescent="0.35">
      <c r="A28" s="22" t="s">
        <v>107</v>
      </c>
      <c r="B28" s="22" t="s">
        <v>108</v>
      </c>
      <c r="C28" s="22" t="s">
        <v>109</v>
      </c>
      <c r="D28" s="28"/>
    </row>
    <row r="29" spans="1:4" ht="15" customHeight="1" x14ac:dyDescent="0.35">
      <c r="A29" s="22" t="s">
        <v>110</v>
      </c>
      <c r="B29" s="22" t="s">
        <v>111</v>
      </c>
      <c r="C29" s="22" t="s">
        <v>112</v>
      </c>
      <c r="D29" s="22"/>
    </row>
    <row r="30" spans="1:4" ht="15" customHeight="1" x14ac:dyDescent="0.35">
      <c r="A30" s="22" t="s">
        <v>113</v>
      </c>
      <c r="B30" s="22" t="s">
        <v>114</v>
      </c>
      <c r="C30" s="22" t="s">
        <v>115</v>
      </c>
      <c r="D30" s="28"/>
    </row>
    <row r="31" spans="1:4" ht="15" customHeight="1" x14ac:dyDescent="0.35">
      <c r="A31" s="22" t="s">
        <v>116</v>
      </c>
      <c r="B31" s="22" t="s">
        <v>117</v>
      </c>
      <c r="C31" s="22" t="s">
        <v>118</v>
      </c>
      <c r="D31" s="22"/>
    </row>
    <row r="32" spans="1:4" ht="15" customHeight="1" x14ac:dyDescent="0.35">
      <c r="A32" s="22" t="s">
        <v>119</v>
      </c>
      <c r="B32" s="22" t="s">
        <v>117</v>
      </c>
      <c r="C32" s="22" t="s">
        <v>120</v>
      </c>
      <c r="D32" s="28"/>
    </row>
    <row r="33" spans="1:4" ht="15" customHeight="1" x14ac:dyDescent="0.35">
      <c r="A33" s="22" t="s">
        <v>121</v>
      </c>
      <c r="B33" s="22" t="s">
        <v>108</v>
      </c>
      <c r="C33" s="22" t="s">
        <v>122</v>
      </c>
      <c r="D33" s="22"/>
    </row>
    <row r="34" spans="1:4" ht="15" customHeight="1" x14ac:dyDescent="0.35">
      <c r="A34" s="22" t="s">
        <v>123</v>
      </c>
      <c r="B34" s="22" t="s">
        <v>105</v>
      </c>
      <c r="C34" s="22" t="s">
        <v>124</v>
      </c>
      <c r="D34" s="28"/>
    </row>
    <row r="35" spans="1:4" ht="15" customHeight="1" x14ac:dyDescent="0.35">
      <c r="A35" s="22" t="s">
        <v>125</v>
      </c>
      <c r="B35" s="22" t="s">
        <v>79</v>
      </c>
      <c r="C35" s="22"/>
      <c r="D35" s="22"/>
    </row>
    <row r="37" spans="1:4" ht="19.5" customHeight="1" x14ac:dyDescent="0.35">
      <c r="A37" s="7" t="s">
        <v>126</v>
      </c>
      <c r="B37" s="7"/>
      <c r="C37" s="7"/>
      <c r="D37" s="7"/>
    </row>
    <row r="38" spans="1:4" ht="15" customHeight="1" x14ac:dyDescent="0.35">
      <c r="A38" s="4" t="s">
        <v>127</v>
      </c>
      <c r="B38" s="4"/>
      <c r="C38" s="4"/>
      <c r="D38" s="4"/>
    </row>
    <row r="39" spans="1:4" ht="15" customHeight="1" x14ac:dyDescent="0.35">
      <c r="A39" s="4" t="s">
        <v>128</v>
      </c>
      <c r="B39" s="4"/>
      <c r="C39" s="4"/>
      <c r="D39" s="4"/>
    </row>
    <row r="40" spans="1:4" ht="15" customHeight="1" x14ac:dyDescent="0.35">
      <c r="A40" s="4" t="s">
        <v>129</v>
      </c>
      <c r="B40" s="4"/>
      <c r="C40" s="4"/>
      <c r="D40" s="4"/>
    </row>
    <row r="41" spans="1:4" ht="15" customHeight="1" x14ac:dyDescent="0.35">
      <c r="A41" s="4" t="s">
        <v>130</v>
      </c>
      <c r="B41" s="4"/>
      <c r="C41" s="4"/>
      <c r="D41" s="4"/>
    </row>
    <row r="42" spans="1:4" ht="15" customHeight="1" x14ac:dyDescent="0.35">
      <c r="A42" s="4" t="s">
        <v>131</v>
      </c>
      <c r="B42" s="4"/>
      <c r="C42" s="4"/>
      <c r="D42" s="4"/>
    </row>
    <row r="43" spans="1:4" ht="27.75" customHeight="1" x14ac:dyDescent="0.35">
      <c r="A43" s="4" t="s">
        <v>132</v>
      </c>
      <c r="B43" s="4"/>
      <c r="C43" s="4"/>
      <c r="D43" s="4"/>
    </row>
    <row r="44" spans="1:4" ht="15" customHeight="1" x14ac:dyDescent="0.35">
      <c r="A44" s="4" t="s">
        <v>133</v>
      </c>
      <c r="B44" s="4"/>
      <c r="C44" s="4"/>
      <c r="D44" s="4"/>
    </row>
    <row r="45" spans="1:4" ht="15" customHeight="1" x14ac:dyDescent="0.35">
      <c r="A45" s="4" t="s">
        <v>134</v>
      </c>
      <c r="B45" s="4"/>
      <c r="C45" s="4"/>
      <c r="D45" s="4"/>
    </row>
    <row r="47" spans="1:4" ht="19.5" customHeight="1" x14ac:dyDescent="0.35">
      <c r="A47" s="7" t="s">
        <v>135</v>
      </c>
      <c r="B47" s="7"/>
      <c r="C47" s="7"/>
      <c r="D47" s="7"/>
    </row>
    <row r="48" spans="1:4" ht="15" customHeight="1" x14ac:dyDescent="0.35">
      <c r="A48" s="6" t="s">
        <v>136</v>
      </c>
      <c r="B48" s="6"/>
      <c r="C48" s="6"/>
      <c r="D48" s="6"/>
    </row>
    <row r="49" spans="1:4" ht="15" customHeight="1" x14ac:dyDescent="0.35">
      <c r="A49" s="27" t="s">
        <v>137</v>
      </c>
      <c r="B49" s="27" t="s">
        <v>138</v>
      </c>
      <c r="C49" s="27"/>
      <c r="D49" s="27"/>
    </row>
    <row r="50" spans="1:4" ht="15" customHeight="1" x14ac:dyDescent="0.35">
      <c r="A50" s="22" t="s">
        <v>139</v>
      </c>
      <c r="B50" s="22" t="s">
        <v>140</v>
      </c>
      <c r="C50" s="22"/>
      <c r="D50" s="22"/>
    </row>
    <row r="51" spans="1:4" ht="15" customHeight="1" x14ac:dyDescent="0.35">
      <c r="A51" s="22" t="s">
        <v>141</v>
      </c>
      <c r="B51" s="22" t="s">
        <v>142</v>
      </c>
      <c r="C51" s="28"/>
      <c r="D51" s="28"/>
    </row>
    <row r="52" spans="1:4" ht="23.25" customHeight="1" x14ac:dyDescent="0.35">
      <c r="A52" s="22" t="s">
        <v>143</v>
      </c>
      <c r="B52" s="22" t="s">
        <v>144</v>
      </c>
      <c r="C52" s="22"/>
      <c r="D52" s="22"/>
    </row>
    <row r="53" spans="1:4" ht="15" customHeight="1" x14ac:dyDescent="0.35">
      <c r="A53" s="22" t="s">
        <v>145</v>
      </c>
      <c r="B53" s="22" t="s">
        <v>146</v>
      </c>
      <c r="C53" s="28"/>
      <c r="D53" s="28"/>
    </row>
    <row r="54" spans="1:4" ht="15" customHeight="1" x14ac:dyDescent="0.35">
      <c r="A54" s="22" t="s">
        <v>147</v>
      </c>
      <c r="B54" s="22" t="s">
        <v>148</v>
      </c>
      <c r="C54" s="22"/>
      <c r="D54" s="22"/>
    </row>
    <row r="55" spans="1:4" ht="15" customHeight="1" x14ac:dyDescent="0.35">
      <c r="A55" s="22" t="s">
        <v>149</v>
      </c>
      <c r="B55" s="22" t="s">
        <v>150</v>
      </c>
      <c r="C55" s="28"/>
      <c r="D55" s="28"/>
    </row>
    <row r="56" spans="1:4" ht="15" customHeight="1" x14ac:dyDescent="0.35">
      <c r="A56" s="22" t="s">
        <v>151</v>
      </c>
      <c r="B56" s="22" t="s">
        <v>152</v>
      </c>
      <c r="C56" s="22"/>
      <c r="D56" s="22"/>
    </row>
    <row r="57" spans="1:4" ht="15" customHeight="1" x14ac:dyDescent="0.35">
      <c r="A57" s="22" t="s">
        <v>153</v>
      </c>
      <c r="B57" s="22" t="s">
        <v>154</v>
      </c>
      <c r="C57" s="28"/>
      <c r="D57" s="28"/>
    </row>
    <row r="58" spans="1:4" ht="15" customHeight="1" x14ac:dyDescent="0.35">
      <c r="A58" s="22" t="s">
        <v>155</v>
      </c>
      <c r="B58" s="22" t="s">
        <v>156</v>
      </c>
      <c r="C58" s="22"/>
      <c r="D58" s="22"/>
    </row>
    <row r="59" spans="1:4" ht="15" customHeight="1" x14ac:dyDescent="0.35">
      <c r="A59" s="22" t="s">
        <v>157</v>
      </c>
      <c r="B59" s="22" t="s">
        <v>158</v>
      </c>
      <c r="C59" s="28"/>
      <c r="D59" s="28"/>
    </row>
    <row r="60" spans="1:4" ht="15" customHeight="1" x14ac:dyDescent="0.35">
      <c r="A60" s="22" t="s">
        <v>159</v>
      </c>
      <c r="B60" s="22" t="s">
        <v>160</v>
      </c>
      <c r="C60" s="22"/>
      <c r="D60" s="22"/>
    </row>
    <row r="62" spans="1:4" ht="19.5" customHeight="1" x14ac:dyDescent="0.35">
      <c r="A62" s="7" t="s">
        <v>161</v>
      </c>
      <c r="B62" s="7"/>
      <c r="C62" s="7"/>
      <c r="D62" s="7"/>
    </row>
    <row r="63" spans="1:4" ht="15" customHeight="1" x14ac:dyDescent="0.35">
      <c r="A63" s="6" t="s">
        <v>162</v>
      </c>
      <c r="B63" s="6"/>
      <c r="C63" s="6"/>
      <c r="D63" s="6"/>
    </row>
    <row r="64" spans="1:4" ht="15" customHeight="1" x14ac:dyDescent="0.35">
      <c r="A64" s="27" t="s">
        <v>163</v>
      </c>
      <c r="B64" s="27" t="s">
        <v>164</v>
      </c>
      <c r="C64" s="27" t="s">
        <v>165</v>
      </c>
      <c r="D64" s="27"/>
    </row>
    <row r="65" spans="1:4" ht="15" customHeight="1" x14ac:dyDescent="0.35">
      <c r="A65" s="22" t="s">
        <v>166</v>
      </c>
      <c r="B65" s="22" t="s">
        <v>167</v>
      </c>
      <c r="C65" s="22" t="s">
        <v>168</v>
      </c>
      <c r="D65" s="22"/>
    </row>
    <row r="66" spans="1:4" ht="15" customHeight="1" x14ac:dyDescent="0.35">
      <c r="A66" s="22" t="s">
        <v>169</v>
      </c>
      <c r="B66" s="22" t="s">
        <v>167</v>
      </c>
      <c r="C66" s="22" t="s">
        <v>170</v>
      </c>
      <c r="D66" s="28"/>
    </row>
    <row r="67" spans="1:4" ht="15" customHeight="1" x14ac:dyDescent="0.35">
      <c r="A67" s="22" t="s">
        <v>171</v>
      </c>
      <c r="B67" s="22" t="s">
        <v>167</v>
      </c>
      <c r="C67" s="22" t="s">
        <v>172</v>
      </c>
      <c r="D67" s="22"/>
    </row>
    <row r="68" spans="1:4" ht="15" customHeight="1" x14ac:dyDescent="0.35">
      <c r="A68" s="22" t="s">
        <v>173</v>
      </c>
      <c r="B68" s="22" t="s">
        <v>167</v>
      </c>
      <c r="C68" s="22" t="s">
        <v>174</v>
      </c>
      <c r="D68" s="28"/>
    </row>
    <row r="69" spans="1:4" ht="15" customHeight="1" x14ac:dyDescent="0.35">
      <c r="A69" s="22" t="s">
        <v>175</v>
      </c>
      <c r="B69" s="22" t="s">
        <v>95</v>
      </c>
      <c r="C69" s="22" t="s">
        <v>176</v>
      </c>
      <c r="D69" s="22"/>
    </row>
    <row r="70" spans="1:4" ht="15" customHeight="1" x14ac:dyDescent="0.35">
      <c r="A70" s="22" t="s">
        <v>177</v>
      </c>
      <c r="B70" s="22" t="s">
        <v>167</v>
      </c>
      <c r="C70" s="22" t="s">
        <v>178</v>
      </c>
      <c r="D70" s="28"/>
    </row>
    <row r="71" spans="1:4" ht="23.25" customHeight="1" x14ac:dyDescent="0.35">
      <c r="A71" s="22" t="s">
        <v>179</v>
      </c>
      <c r="B71" s="22" t="s">
        <v>180</v>
      </c>
      <c r="C71" s="22" t="s">
        <v>181</v>
      </c>
      <c r="D71" s="22"/>
    </row>
    <row r="73" spans="1:4" ht="19.5" customHeight="1" x14ac:dyDescent="0.35">
      <c r="A73" s="7" t="s">
        <v>182</v>
      </c>
      <c r="B73" s="7"/>
      <c r="C73" s="7"/>
      <c r="D73" s="7"/>
    </row>
    <row r="74" spans="1:4" ht="15" customHeight="1" x14ac:dyDescent="0.35">
      <c r="A74" s="6" t="s">
        <v>183</v>
      </c>
      <c r="B74" s="6"/>
      <c r="C74" s="6"/>
      <c r="D74" s="6"/>
    </row>
    <row r="75" spans="1:4" ht="15" customHeight="1" x14ac:dyDescent="0.35">
      <c r="A75" s="4" t="s">
        <v>184</v>
      </c>
      <c r="B75" s="4"/>
      <c r="C75" s="4"/>
      <c r="D75" s="4"/>
    </row>
    <row r="76" spans="1:4" ht="15" customHeight="1" x14ac:dyDescent="0.35">
      <c r="A76" s="4" t="s">
        <v>185</v>
      </c>
      <c r="B76" s="4"/>
      <c r="C76" s="4"/>
      <c r="D76" s="4"/>
    </row>
    <row r="77" spans="1:4" ht="15" customHeight="1" x14ac:dyDescent="0.35">
      <c r="A77" s="4" t="s">
        <v>186</v>
      </c>
      <c r="B77" s="4"/>
      <c r="C77" s="4"/>
      <c r="D77" s="4"/>
    </row>
    <row r="78" spans="1:4" ht="15" customHeight="1" x14ac:dyDescent="0.35">
      <c r="A78" s="4" t="s">
        <v>187</v>
      </c>
      <c r="B78" s="4"/>
      <c r="C78" s="4"/>
      <c r="D78" s="4"/>
    </row>
    <row r="79" spans="1:4" ht="15" customHeight="1" x14ac:dyDescent="0.35">
      <c r="A79" s="4" t="s">
        <v>188</v>
      </c>
      <c r="B79" s="4"/>
      <c r="C79" s="4"/>
      <c r="D79" s="4"/>
    </row>
    <row r="80" spans="1:4" ht="15" customHeight="1" x14ac:dyDescent="0.35">
      <c r="A80" s="4" t="s">
        <v>189</v>
      </c>
      <c r="B80" s="4"/>
      <c r="C80" s="4"/>
      <c r="D80" s="4"/>
    </row>
    <row r="81" spans="1:4" ht="15" customHeight="1" x14ac:dyDescent="0.35">
      <c r="A81" s="4" t="s">
        <v>190</v>
      </c>
      <c r="B81" s="4"/>
      <c r="C81" s="4"/>
      <c r="D81" s="4"/>
    </row>
    <row r="82" spans="1:4" ht="15" customHeight="1" x14ac:dyDescent="0.35">
      <c r="A82" s="4" t="s">
        <v>191</v>
      </c>
      <c r="B82" s="4"/>
      <c r="C82" s="4"/>
      <c r="D82" s="4"/>
    </row>
    <row r="83" spans="1:4" ht="15" customHeight="1" x14ac:dyDescent="0.35">
      <c r="A83" s="4" t="s">
        <v>192</v>
      </c>
      <c r="B83" s="4"/>
      <c r="C83" s="4"/>
      <c r="D83" s="4"/>
    </row>
    <row r="84" spans="1:4" ht="15" customHeight="1" x14ac:dyDescent="0.35">
      <c r="A84" s="4" t="s">
        <v>193</v>
      </c>
      <c r="B84" s="4"/>
      <c r="C84" s="4"/>
      <c r="D84" s="4"/>
    </row>
    <row r="85" spans="1:4" ht="15" customHeight="1" x14ac:dyDescent="0.35">
      <c r="A85" s="6" t="s">
        <v>194</v>
      </c>
      <c r="B85" s="6"/>
      <c r="C85" s="6"/>
      <c r="D85" s="6"/>
    </row>
    <row r="87" spans="1:4" ht="19.5" customHeight="1" x14ac:dyDescent="0.35">
      <c r="A87" s="7" t="s">
        <v>195</v>
      </c>
      <c r="B87" s="7"/>
      <c r="C87" s="7"/>
      <c r="D87" s="7"/>
    </row>
    <row r="88" spans="1:4" ht="15" customHeight="1" x14ac:dyDescent="0.35">
      <c r="A88" s="6" t="s">
        <v>196</v>
      </c>
      <c r="B88" s="6"/>
      <c r="C88" s="6"/>
      <c r="D88" s="6"/>
    </row>
    <row r="89" spans="1:4" ht="15" customHeight="1" x14ac:dyDescent="0.35">
      <c r="A89" s="3" t="s">
        <v>197</v>
      </c>
      <c r="B89" s="3"/>
      <c r="C89" s="3"/>
      <c r="D89" s="3"/>
    </row>
    <row r="90" spans="1:4" ht="15" customHeight="1" x14ac:dyDescent="0.35">
      <c r="A90" s="4" t="s">
        <v>198</v>
      </c>
      <c r="B90" s="4"/>
      <c r="C90" s="4"/>
      <c r="D90" s="4"/>
    </row>
    <row r="91" spans="1:4" ht="15" customHeight="1" x14ac:dyDescent="0.35">
      <c r="A91" s="4" t="s">
        <v>199</v>
      </c>
      <c r="B91" s="4"/>
      <c r="C91" s="4"/>
      <c r="D91" s="4"/>
    </row>
    <row r="92" spans="1:4" ht="15" customHeight="1" x14ac:dyDescent="0.35">
      <c r="A92" s="4" t="s">
        <v>200</v>
      </c>
      <c r="B92" s="4"/>
      <c r="C92" s="4"/>
      <c r="D92" s="4"/>
    </row>
    <row r="93" spans="1:4" ht="15" customHeight="1" x14ac:dyDescent="0.35">
      <c r="A93" s="4" t="s">
        <v>201</v>
      </c>
      <c r="B93" s="4"/>
      <c r="C93" s="4"/>
      <c r="D93" s="4"/>
    </row>
    <row r="94" spans="1:4" ht="15" customHeight="1" x14ac:dyDescent="0.35">
      <c r="A94" s="3" t="s">
        <v>202</v>
      </c>
      <c r="B94" s="3"/>
      <c r="C94" s="3"/>
      <c r="D94" s="3"/>
    </row>
    <row r="95" spans="1:4" ht="15" customHeight="1" x14ac:dyDescent="0.35">
      <c r="A95" s="4" t="s">
        <v>203</v>
      </c>
      <c r="B95" s="4"/>
      <c r="C95" s="4"/>
      <c r="D95" s="4"/>
    </row>
    <row r="96" spans="1:4" ht="15" customHeight="1" x14ac:dyDescent="0.35">
      <c r="A96" s="4" t="s">
        <v>204</v>
      </c>
      <c r="B96" s="4"/>
      <c r="C96" s="4"/>
      <c r="D96" s="4"/>
    </row>
    <row r="97" spans="1:4" ht="15" customHeight="1" x14ac:dyDescent="0.35">
      <c r="A97" s="4" t="s">
        <v>205</v>
      </c>
      <c r="B97" s="4"/>
      <c r="C97" s="4"/>
      <c r="D97" s="4"/>
    </row>
    <row r="98" spans="1:4" ht="15" customHeight="1" x14ac:dyDescent="0.35">
      <c r="A98" s="3" t="s">
        <v>206</v>
      </c>
      <c r="B98" s="3"/>
      <c r="C98" s="3"/>
      <c r="D98" s="3"/>
    </row>
    <row r="99" spans="1:4" ht="15" customHeight="1" x14ac:dyDescent="0.35">
      <c r="A99" s="4" t="s">
        <v>207</v>
      </c>
      <c r="B99" s="4"/>
      <c r="C99" s="4"/>
      <c r="D99" s="4"/>
    </row>
    <row r="100" spans="1:4" ht="15" customHeight="1" x14ac:dyDescent="0.35">
      <c r="A100" s="4" t="s">
        <v>208</v>
      </c>
      <c r="B100" s="4"/>
      <c r="C100" s="4"/>
      <c r="D100" s="4"/>
    </row>
    <row r="101" spans="1:4" ht="15" customHeight="1" x14ac:dyDescent="0.35">
      <c r="A101" s="4" t="s">
        <v>209</v>
      </c>
      <c r="B101" s="4"/>
      <c r="C101" s="4"/>
      <c r="D101" s="4"/>
    </row>
    <row r="102" spans="1:4" ht="15" customHeight="1" x14ac:dyDescent="0.35">
      <c r="A102" s="3" t="s">
        <v>210</v>
      </c>
      <c r="B102" s="3"/>
      <c r="C102" s="3"/>
      <c r="D102" s="3"/>
    </row>
    <row r="103" spans="1:4" ht="15" customHeight="1" x14ac:dyDescent="0.35">
      <c r="A103" s="4" t="s">
        <v>211</v>
      </c>
      <c r="B103" s="4"/>
      <c r="C103" s="4"/>
      <c r="D103" s="4"/>
    </row>
    <row r="104" spans="1:4" ht="15" customHeight="1" x14ac:dyDescent="0.35">
      <c r="A104" s="4" t="s">
        <v>212</v>
      </c>
      <c r="B104" s="4"/>
      <c r="C104" s="4"/>
      <c r="D104" s="4"/>
    </row>
    <row r="105" spans="1:4" ht="15" customHeight="1" x14ac:dyDescent="0.35">
      <c r="A105" s="4" t="s">
        <v>213</v>
      </c>
      <c r="B105" s="4"/>
      <c r="C105" s="4"/>
      <c r="D105" s="4"/>
    </row>
    <row r="106" spans="1:4" ht="15" customHeight="1" x14ac:dyDescent="0.35">
      <c r="A106" s="3" t="s">
        <v>214</v>
      </c>
      <c r="B106" s="3"/>
      <c r="C106" s="3"/>
      <c r="D106" s="3"/>
    </row>
    <row r="107" spans="1:4" ht="15" customHeight="1" x14ac:dyDescent="0.35">
      <c r="A107" s="4" t="s">
        <v>215</v>
      </c>
      <c r="B107" s="4"/>
      <c r="C107" s="4"/>
      <c r="D107" s="4"/>
    </row>
    <row r="108" spans="1:4" ht="15" customHeight="1" x14ac:dyDescent="0.35">
      <c r="A108" s="4" t="s">
        <v>216</v>
      </c>
      <c r="B108" s="4"/>
      <c r="C108" s="4"/>
      <c r="D108" s="4"/>
    </row>
    <row r="109" spans="1:4" ht="15" customHeight="1" x14ac:dyDescent="0.35">
      <c r="A109" s="4" t="s">
        <v>217</v>
      </c>
      <c r="B109" s="4"/>
      <c r="C109" s="4"/>
      <c r="D109" s="4"/>
    </row>
    <row r="110" spans="1:4" ht="15" customHeight="1" x14ac:dyDescent="0.35">
      <c r="A110" s="4" t="s">
        <v>218</v>
      </c>
      <c r="B110" s="4"/>
      <c r="C110" s="4"/>
      <c r="D110" s="4"/>
    </row>
    <row r="112" spans="1:4" ht="19.5" customHeight="1" x14ac:dyDescent="0.35">
      <c r="A112" s="7" t="s">
        <v>219</v>
      </c>
      <c r="B112" s="7"/>
      <c r="C112" s="7"/>
      <c r="D112" s="7"/>
    </row>
    <row r="113" spans="1:4" ht="15" customHeight="1" x14ac:dyDescent="0.35">
      <c r="A113" s="6" t="s">
        <v>220</v>
      </c>
      <c r="B113" s="6"/>
      <c r="C113" s="6"/>
      <c r="D113" s="6"/>
    </row>
    <row r="114" spans="1:4" ht="15" customHeight="1" x14ac:dyDescent="0.35">
      <c r="A114" s="3" t="s">
        <v>221</v>
      </c>
      <c r="B114" s="3"/>
      <c r="C114" s="3"/>
      <c r="D114" s="3"/>
    </row>
    <row r="115" spans="1:4" ht="15" customHeight="1" x14ac:dyDescent="0.35">
      <c r="A115" s="6" t="s">
        <v>222</v>
      </c>
      <c r="B115" s="6"/>
      <c r="C115" s="6"/>
      <c r="D115" s="6"/>
    </row>
    <row r="116" spans="1:4" ht="15" customHeight="1" x14ac:dyDescent="0.35">
      <c r="A116" s="3" t="s">
        <v>223</v>
      </c>
      <c r="B116" s="3"/>
      <c r="C116" s="3"/>
      <c r="D116" s="3"/>
    </row>
    <row r="117" spans="1:4" ht="15" customHeight="1" x14ac:dyDescent="0.35">
      <c r="A117" s="6" t="s">
        <v>224</v>
      </c>
      <c r="B117" s="6"/>
      <c r="C117" s="6"/>
      <c r="D117" s="6"/>
    </row>
    <row r="118" spans="1:4" ht="15" customHeight="1" x14ac:dyDescent="0.35">
      <c r="A118" s="3" t="s">
        <v>44</v>
      </c>
      <c r="B118" s="3"/>
      <c r="C118" s="3"/>
      <c r="D118" s="3"/>
    </row>
    <row r="119" spans="1:4" ht="15" customHeight="1" x14ac:dyDescent="0.35">
      <c r="A119" s="6" t="s">
        <v>225</v>
      </c>
      <c r="B119" s="6"/>
      <c r="C119" s="6"/>
      <c r="D119" s="6"/>
    </row>
    <row r="121" spans="1:4" ht="19.5" customHeight="1" x14ac:dyDescent="0.35">
      <c r="A121" s="7" t="s">
        <v>226</v>
      </c>
      <c r="B121" s="7"/>
      <c r="C121" s="7"/>
      <c r="D121" s="7"/>
    </row>
    <row r="122" spans="1:4" ht="15" customHeight="1" x14ac:dyDescent="0.35">
      <c r="A122" s="6" t="s">
        <v>227</v>
      </c>
      <c r="B122" s="6"/>
      <c r="C122" s="6"/>
      <c r="D122" s="6"/>
    </row>
    <row r="123" spans="1:4" ht="15" customHeight="1" x14ac:dyDescent="0.35">
      <c r="A123" s="27" t="s">
        <v>228</v>
      </c>
      <c r="B123" s="27" t="s">
        <v>229</v>
      </c>
      <c r="C123" s="27"/>
      <c r="D123" s="27"/>
    </row>
    <row r="124" spans="1:4" ht="15" customHeight="1" x14ac:dyDescent="0.35">
      <c r="A124" s="22" t="s">
        <v>230</v>
      </c>
      <c r="B124" s="22" t="s">
        <v>51</v>
      </c>
      <c r="C124" s="22"/>
      <c r="D124" s="22"/>
    </row>
    <row r="125" spans="1:4" ht="15" customHeight="1" x14ac:dyDescent="0.35">
      <c r="A125" s="22" t="s">
        <v>231</v>
      </c>
      <c r="B125" s="22" t="s">
        <v>50</v>
      </c>
      <c r="C125" s="28"/>
      <c r="D125" s="28"/>
    </row>
    <row r="126" spans="1:4" ht="15" customHeight="1" x14ac:dyDescent="0.35">
      <c r="A126" s="22" t="s">
        <v>153</v>
      </c>
      <c r="B126" s="22" t="s">
        <v>50</v>
      </c>
      <c r="C126" s="22"/>
      <c r="D126" s="22"/>
    </row>
    <row r="127" spans="1:4" ht="15" customHeight="1" x14ac:dyDescent="0.35">
      <c r="A127" s="22" t="s">
        <v>232</v>
      </c>
      <c r="B127" s="22" t="s">
        <v>51</v>
      </c>
      <c r="C127" s="28"/>
      <c r="D127" s="28"/>
    </row>
    <row r="128" spans="1:4" ht="15" customHeight="1" x14ac:dyDescent="0.35">
      <c r="A128" s="22" t="s">
        <v>46</v>
      </c>
      <c r="B128" s="22" t="s">
        <v>51</v>
      </c>
      <c r="C128" s="22"/>
      <c r="D128" s="22"/>
    </row>
    <row r="129" spans="1:4" ht="15" customHeight="1" x14ac:dyDescent="0.35">
      <c r="A129" s="22" t="s">
        <v>233</v>
      </c>
      <c r="B129" s="22" t="s">
        <v>50</v>
      </c>
      <c r="C129" s="28"/>
      <c r="D129" s="28"/>
    </row>
    <row r="130" spans="1:4" ht="15" customHeight="1" x14ac:dyDescent="0.35">
      <c r="A130" s="22" t="s">
        <v>151</v>
      </c>
      <c r="B130" s="22" t="s">
        <v>50</v>
      </c>
      <c r="C130" s="22"/>
      <c r="D130" s="22"/>
    </row>
    <row r="131" spans="1:4" ht="15" customHeight="1" x14ac:dyDescent="0.35">
      <c r="A131" s="22" t="s">
        <v>159</v>
      </c>
      <c r="B131" s="22" t="s">
        <v>51</v>
      </c>
      <c r="C131" s="28"/>
      <c r="D131" s="28"/>
    </row>
    <row r="132" spans="1:4" ht="15" customHeight="1" x14ac:dyDescent="0.35">
      <c r="A132" s="22" t="s">
        <v>234</v>
      </c>
      <c r="B132" s="22" t="s">
        <v>51</v>
      </c>
      <c r="C132" s="22"/>
      <c r="D132" s="22"/>
    </row>
    <row r="133" spans="1:4" ht="15" customHeight="1" x14ac:dyDescent="0.35">
      <c r="A133" s="22" t="s">
        <v>235</v>
      </c>
      <c r="B133" s="22" t="s">
        <v>51</v>
      </c>
      <c r="C133" s="28"/>
      <c r="D133" s="28"/>
    </row>
    <row r="135" spans="1:4" ht="15" customHeight="1" x14ac:dyDescent="0.35">
      <c r="A135" s="6" t="s">
        <v>236</v>
      </c>
      <c r="B135" s="6"/>
      <c r="C135" s="6"/>
      <c r="D135" s="6"/>
    </row>
    <row r="137" spans="1:4" ht="19.5" customHeight="1" x14ac:dyDescent="0.35">
      <c r="A137" s="7" t="s">
        <v>237</v>
      </c>
      <c r="B137" s="7"/>
      <c r="C137" s="7"/>
      <c r="D137" s="7"/>
    </row>
    <row r="138" spans="1:4" ht="15" customHeight="1" x14ac:dyDescent="0.35">
      <c r="A138" s="3" t="s">
        <v>238</v>
      </c>
      <c r="B138" s="3"/>
      <c r="C138" s="3"/>
      <c r="D138" s="3"/>
    </row>
    <row r="139" spans="1:4" ht="15" customHeight="1" x14ac:dyDescent="0.35">
      <c r="A139" s="4" t="s">
        <v>239</v>
      </c>
      <c r="B139" s="4"/>
      <c r="C139" s="4"/>
      <c r="D139" s="4"/>
    </row>
    <row r="140" spans="1:4" ht="15" customHeight="1" x14ac:dyDescent="0.35">
      <c r="A140" s="4" t="s">
        <v>240</v>
      </c>
      <c r="B140" s="4"/>
      <c r="C140" s="4"/>
      <c r="D140" s="4"/>
    </row>
    <row r="141" spans="1:4" ht="15" customHeight="1" x14ac:dyDescent="0.35">
      <c r="A141" s="4" t="s">
        <v>241</v>
      </c>
      <c r="B141" s="4"/>
      <c r="C141" s="4"/>
      <c r="D141" s="4"/>
    </row>
    <row r="142" spans="1:4" ht="15" customHeight="1" x14ac:dyDescent="0.35">
      <c r="A142" s="4" t="s">
        <v>242</v>
      </c>
      <c r="B142" s="4"/>
      <c r="C142" s="4"/>
      <c r="D142" s="4"/>
    </row>
    <row r="143" spans="1:4" ht="15" customHeight="1" x14ac:dyDescent="0.35">
      <c r="A143" s="4" t="s">
        <v>243</v>
      </c>
      <c r="B143" s="4"/>
      <c r="C143" s="4"/>
      <c r="D143" s="4"/>
    </row>
    <row r="144" spans="1:4" ht="15" customHeight="1" x14ac:dyDescent="0.35">
      <c r="A144" s="4" t="s">
        <v>244</v>
      </c>
      <c r="B144" s="4"/>
      <c r="C144" s="4"/>
      <c r="D144" s="4"/>
    </row>
    <row r="145" spans="1:4" ht="15" customHeight="1" x14ac:dyDescent="0.35">
      <c r="A145" s="4" t="s">
        <v>192</v>
      </c>
      <c r="B145" s="4"/>
      <c r="C145" s="4"/>
      <c r="D145" s="4"/>
    </row>
    <row r="146" spans="1:4" ht="15" customHeight="1" x14ac:dyDescent="0.35">
      <c r="A146" s="4" t="s">
        <v>191</v>
      </c>
      <c r="B146" s="4"/>
      <c r="C146" s="4"/>
      <c r="D146" s="4"/>
    </row>
    <row r="147" spans="1:4" ht="15" customHeight="1" x14ac:dyDescent="0.35">
      <c r="A147" s="4" t="s">
        <v>245</v>
      </c>
      <c r="B147" s="4"/>
      <c r="C147" s="4"/>
      <c r="D147" s="4"/>
    </row>
    <row r="148" spans="1:4" ht="15" customHeight="1" x14ac:dyDescent="0.35">
      <c r="A148" s="4" t="s">
        <v>246</v>
      </c>
      <c r="B148" s="4"/>
      <c r="C148" s="4"/>
      <c r="D148" s="4"/>
    </row>
    <row r="149" spans="1:4" ht="15" customHeight="1" x14ac:dyDescent="0.35">
      <c r="A149" s="4" t="s">
        <v>247</v>
      </c>
      <c r="B149" s="4"/>
      <c r="C149" s="4"/>
      <c r="D149" s="4"/>
    </row>
    <row r="150" spans="1:4" ht="15" customHeight="1" x14ac:dyDescent="0.35">
      <c r="A150" s="4" t="s">
        <v>248</v>
      </c>
      <c r="B150" s="4"/>
      <c r="C150" s="4"/>
      <c r="D150" s="4"/>
    </row>
    <row r="151" spans="1:4" ht="15" customHeight="1" x14ac:dyDescent="0.35">
      <c r="A151" s="4" t="s">
        <v>249</v>
      </c>
      <c r="B151" s="4"/>
      <c r="C151" s="4"/>
      <c r="D151" s="4"/>
    </row>
    <row r="152" spans="1:4" ht="15" customHeight="1" x14ac:dyDescent="0.35">
      <c r="A152" s="4" t="s">
        <v>250</v>
      </c>
      <c r="B152" s="4"/>
      <c r="C152" s="4"/>
      <c r="D152" s="4"/>
    </row>
    <row r="153" spans="1:4" ht="15" customHeight="1" x14ac:dyDescent="0.35">
      <c r="A153" s="3" t="s">
        <v>251</v>
      </c>
      <c r="B153" s="3"/>
      <c r="C153" s="3"/>
      <c r="D153" s="3"/>
    </row>
    <row r="154" spans="1:4" ht="15" customHeight="1" x14ac:dyDescent="0.35">
      <c r="A154" s="4" t="s">
        <v>252</v>
      </c>
      <c r="B154" s="4"/>
      <c r="C154" s="4"/>
      <c r="D154" s="4"/>
    </row>
    <row r="155" spans="1:4" ht="15" customHeight="1" x14ac:dyDescent="0.35">
      <c r="A155" s="4" t="s">
        <v>253</v>
      </c>
      <c r="B155" s="4"/>
      <c r="C155" s="4"/>
      <c r="D155" s="4"/>
    </row>
    <row r="156" spans="1:4" ht="15" customHeight="1" x14ac:dyDescent="0.35">
      <c r="A156" s="4" t="s">
        <v>254</v>
      </c>
      <c r="B156" s="4"/>
      <c r="C156" s="4"/>
      <c r="D156" s="4"/>
    </row>
    <row r="157" spans="1:4" ht="15" customHeight="1" x14ac:dyDescent="0.35">
      <c r="A157" s="4" t="s">
        <v>255</v>
      </c>
      <c r="B157" s="4"/>
      <c r="C157" s="4"/>
      <c r="D157" s="4"/>
    </row>
    <row r="158" spans="1:4" ht="15" customHeight="1" x14ac:dyDescent="0.35">
      <c r="A158" s="4" t="s">
        <v>256</v>
      </c>
      <c r="B158" s="4"/>
      <c r="C158" s="4"/>
      <c r="D158" s="4"/>
    </row>
    <row r="159" spans="1:4" ht="15" customHeight="1" x14ac:dyDescent="0.35">
      <c r="A159" s="4" t="s">
        <v>257</v>
      </c>
      <c r="B159" s="4"/>
      <c r="C159" s="4"/>
      <c r="D159" s="4"/>
    </row>
    <row r="160" spans="1:4" ht="15" customHeight="1" x14ac:dyDescent="0.35">
      <c r="A160" s="4" t="s">
        <v>258</v>
      </c>
      <c r="B160" s="4"/>
      <c r="C160" s="4"/>
      <c r="D160" s="4"/>
    </row>
    <row r="162" spans="1:4" ht="19.5" customHeight="1" x14ac:dyDescent="0.35">
      <c r="A162" s="7" t="s">
        <v>259</v>
      </c>
      <c r="B162" s="7"/>
      <c r="C162" s="7"/>
      <c r="D162" s="7"/>
    </row>
    <row r="163" spans="1:4" ht="15" customHeight="1" x14ac:dyDescent="0.35">
      <c r="A163" s="6" t="s">
        <v>260</v>
      </c>
      <c r="B163" s="6"/>
      <c r="C163" s="6"/>
      <c r="D163" s="6"/>
    </row>
    <row r="164" spans="1:4" ht="15" customHeight="1" x14ac:dyDescent="0.35">
      <c r="A164" s="4" t="s">
        <v>261</v>
      </c>
      <c r="B164" s="4"/>
      <c r="C164" s="4"/>
      <c r="D164" s="4"/>
    </row>
    <row r="165" spans="1:4" ht="15" customHeight="1" x14ac:dyDescent="0.35">
      <c r="A165" s="4" t="s">
        <v>262</v>
      </c>
      <c r="B165" s="4"/>
      <c r="C165" s="4"/>
      <c r="D165" s="4"/>
    </row>
    <row r="166" spans="1:4" ht="15" customHeight="1" x14ac:dyDescent="0.35">
      <c r="A166" s="4" t="s">
        <v>263</v>
      </c>
      <c r="B166" s="4"/>
      <c r="C166" s="4"/>
      <c r="D166" s="4"/>
    </row>
    <row r="167" spans="1:4" ht="15" customHeight="1" x14ac:dyDescent="0.35">
      <c r="A167" s="4" t="s">
        <v>264</v>
      </c>
      <c r="B167" s="4"/>
      <c r="C167" s="4"/>
      <c r="D167" s="4"/>
    </row>
    <row r="168" spans="1:4" ht="15" customHeight="1" x14ac:dyDescent="0.35">
      <c r="A168" s="4" t="s">
        <v>265</v>
      </c>
      <c r="B168" s="4"/>
      <c r="C168" s="4"/>
      <c r="D168" s="4"/>
    </row>
    <row r="169" spans="1:4" ht="15" customHeight="1" x14ac:dyDescent="0.35">
      <c r="A169" s="4" t="s">
        <v>266</v>
      </c>
      <c r="B169" s="4"/>
      <c r="C169" s="4"/>
      <c r="D169" s="4"/>
    </row>
    <row r="170" spans="1:4" ht="15" customHeight="1" x14ac:dyDescent="0.35">
      <c r="A170" s="4" t="s">
        <v>267</v>
      </c>
      <c r="B170" s="4"/>
      <c r="C170" s="4"/>
      <c r="D170" s="4"/>
    </row>
    <row r="171" spans="1:4" ht="15" customHeight="1" x14ac:dyDescent="0.35">
      <c r="A171" s="4" t="s">
        <v>268</v>
      </c>
      <c r="B171" s="4"/>
      <c r="C171" s="4"/>
      <c r="D171" s="4"/>
    </row>
    <row r="172" spans="1:4" ht="15" customHeight="1" x14ac:dyDescent="0.35">
      <c r="A172" s="4" t="s">
        <v>269</v>
      </c>
      <c r="B172" s="4"/>
      <c r="C172" s="4"/>
      <c r="D172" s="4"/>
    </row>
    <row r="173" spans="1:4" ht="15" customHeight="1" x14ac:dyDescent="0.35">
      <c r="A173" s="4" t="s">
        <v>270</v>
      </c>
      <c r="B173" s="4"/>
      <c r="C173" s="4"/>
      <c r="D173" s="4"/>
    </row>
    <row r="174" spans="1:4" ht="15" customHeight="1" x14ac:dyDescent="0.35">
      <c r="A174" s="4" t="s">
        <v>271</v>
      </c>
      <c r="B174" s="4"/>
      <c r="C174" s="4"/>
      <c r="D174" s="4"/>
    </row>
    <row r="176" spans="1:4" ht="19.5" customHeight="1" x14ac:dyDescent="0.35">
      <c r="A176" s="7" t="s">
        <v>272</v>
      </c>
      <c r="B176" s="7"/>
      <c r="C176" s="7"/>
      <c r="D176" s="7"/>
    </row>
    <row r="177" spans="1:4" ht="15" customHeight="1" x14ac:dyDescent="0.35">
      <c r="A177" s="6" t="s">
        <v>273</v>
      </c>
      <c r="B177" s="6"/>
      <c r="C177" s="6"/>
      <c r="D177" s="6"/>
    </row>
    <row r="178" spans="1:4" ht="15" customHeight="1" x14ac:dyDescent="0.35">
      <c r="A178" s="3" t="s">
        <v>274</v>
      </c>
      <c r="B178" s="3"/>
      <c r="C178" s="3"/>
      <c r="D178" s="3"/>
    </row>
    <row r="179" spans="1:4" ht="15" customHeight="1" x14ac:dyDescent="0.35">
      <c r="A179" s="27" t="s">
        <v>16</v>
      </c>
      <c r="B179" s="27" t="s">
        <v>275</v>
      </c>
      <c r="C179" s="27"/>
      <c r="D179" s="27"/>
    </row>
    <row r="180" spans="1:4" ht="15" customHeight="1" x14ac:dyDescent="0.35">
      <c r="A180" s="22" t="s">
        <v>276</v>
      </c>
      <c r="B180" s="22" t="s">
        <v>277</v>
      </c>
      <c r="C180" s="22"/>
      <c r="D180" s="22"/>
    </row>
    <row r="181" spans="1:4" ht="15" customHeight="1" x14ac:dyDescent="0.35">
      <c r="A181" s="22" t="s">
        <v>278</v>
      </c>
      <c r="B181" s="22" t="s">
        <v>279</v>
      </c>
      <c r="C181" s="28"/>
      <c r="D181" s="28"/>
    </row>
    <row r="182" spans="1:4" ht="15" customHeight="1" x14ac:dyDescent="0.35">
      <c r="A182" s="22" t="s">
        <v>105</v>
      </c>
      <c r="B182" s="22" t="s">
        <v>280</v>
      </c>
      <c r="C182" s="22"/>
      <c r="D182" s="22"/>
    </row>
    <row r="183" spans="1:4" ht="15" customHeight="1" x14ac:dyDescent="0.35">
      <c r="A183" s="22" t="s">
        <v>281</v>
      </c>
      <c r="B183" s="22" t="s">
        <v>282</v>
      </c>
      <c r="C183" s="28"/>
      <c r="D183" s="28"/>
    </row>
    <row r="184" spans="1:4" ht="15" customHeight="1" x14ac:dyDescent="0.35">
      <c r="A184" s="22" t="s">
        <v>108</v>
      </c>
      <c r="B184" s="22" t="s">
        <v>283</v>
      </c>
      <c r="C184" s="22"/>
      <c r="D184" s="22"/>
    </row>
    <row r="186" spans="1:4" ht="15" customHeight="1" x14ac:dyDescent="0.35">
      <c r="A186" s="3" t="s">
        <v>284</v>
      </c>
      <c r="B186" s="3"/>
      <c r="C186" s="3"/>
      <c r="D186" s="3"/>
    </row>
    <row r="187" spans="1:4" ht="15" customHeight="1" x14ac:dyDescent="0.35">
      <c r="A187" s="27" t="s">
        <v>16</v>
      </c>
      <c r="B187" s="27" t="s">
        <v>275</v>
      </c>
      <c r="C187" s="27"/>
      <c r="D187" s="27"/>
    </row>
    <row r="188" spans="1:4" ht="15" customHeight="1" x14ac:dyDescent="0.35">
      <c r="A188" s="22" t="s">
        <v>276</v>
      </c>
      <c r="B188" s="22" t="s">
        <v>285</v>
      </c>
      <c r="C188" s="22"/>
      <c r="D188" s="22"/>
    </row>
    <row r="189" spans="1:4" ht="15" customHeight="1" x14ac:dyDescent="0.35">
      <c r="A189" s="22" t="s">
        <v>278</v>
      </c>
      <c r="B189" s="22" t="s">
        <v>286</v>
      </c>
      <c r="C189" s="28"/>
      <c r="D189" s="28"/>
    </row>
    <row r="190" spans="1:4" ht="15" customHeight="1" x14ac:dyDescent="0.35">
      <c r="A190" s="22" t="s">
        <v>105</v>
      </c>
      <c r="B190" s="22" t="s">
        <v>287</v>
      </c>
      <c r="C190" s="22"/>
      <c r="D190" s="22"/>
    </row>
    <row r="191" spans="1:4" ht="15" customHeight="1" x14ac:dyDescent="0.35">
      <c r="A191" s="22" t="s">
        <v>281</v>
      </c>
      <c r="B191" s="22" t="s">
        <v>288</v>
      </c>
      <c r="C191" s="28"/>
      <c r="D191" s="28"/>
    </row>
    <row r="192" spans="1:4" ht="15" customHeight="1" x14ac:dyDescent="0.35">
      <c r="A192" s="22" t="s">
        <v>108</v>
      </c>
      <c r="B192" s="22" t="s">
        <v>289</v>
      </c>
      <c r="C192" s="22"/>
      <c r="D192" s="22"/>
    </row>
    <row r="194" spans="1:4" ht="15" customHeight="1" x14ac:dyDescent="0.35">
      <c r="A194" s="26" t="s">
        <v>290</v>
      </c>
      <c r="B194" s="5" t="s">
        <v>291</v>
      </c>
      <c r="C194" s="5"/>
      <c r="D194" s="5"/>
    </row>
    <row r="195" spans="1:4" ht="15" customHeight="1" x14ac:dyDescent="0.35">
      <c r="A195" s="3" t="s">
        <v>292</v>
      </c>
      <c r="B195" s="3"/>
      <c r="C195" s="3"/>
      <c r="D195" s="3"/>
    </row>
    <row r="196" spans="1:4" ht="15" customHeight="1" x14ac:dyDescent="0.35">
      <c r="A196" s="27" t="s">
        <v>16</v>
      </c>
      <c r="B196" s="27" t="s">
        <v>17</v>
      </c>
      <c r="C196" s="27"/>
      <c r="D196" s="27"/>
    </row>
    <row r="197" spans="1:4" ht="15" customHeight="1" x14ac:dyDescent="0.35">
      <c r="A197" s="22" t="s">
        <v>293</v>
      </c>
      <c r="B197" s="22" t="s">
        <v>34</v>
      </c>
      <c r="C197" s="22"/>
      <c r="D197" s="22"/>
    </row>
    <row r="198" spans="1:4" ht="15" customHeight="1" x14ac:dyDescent="0.35">
      <c r="A198" s="22" t="s">
        <v>294</v>
      </c>
      <c r="B198" s="22" t="s">
        <v>33</v>
      </c>
      <c r="C198" s="28"/>
      <c r="D198" s="28"/>
    </row>
    <row r="199" spans="1:4" ht="15" customHeight="1" x14ac:dyDescent="0.35">
      <c r="A199" s="22" t="s">
        <v>295</v>
      </c>
      <c r="B199" s="22" t="s">
        <v>32</v>
      </c>
      <c r="C199" s="22"/>
      <c r="D199" s="22"/>
    </row>
    <row r="200" spans="1:4" ht="15" customHeight="1" x14ac:dyDescent="0.35">
      <c r="A200" s="22" t="s">
        <v>296</v>
      </c>
      <c r="B200" s="22" t="s">
        <v>31</v>
      </c>
      <c r="C200" s="28"/>
      <c r="D200" s="28"/>
    </row>
    <row r="202" spans="1:4" ht="19.5" customHeight="1" x14ac:dyDescent="0.35">
      <c r="A202" s="7" t="s">
        <v>297</v>
      </c>
      <c r="B202" s="7"/>
      <c r="C202" s="7"/>
      <c r="D202" s="7"/>
    </row>
    <row r="203" spans="1:4" ht="15" customHeight="1" x14ac:dyDescent="0.35">
      <c r="A203" s="6" t="s">
        <v>298</v>
      </c>
      <c r="B203" s="6"/>
      <c r="C203" s="6"/>
      <c r="D203" s="6"/>
    </row>
    <row r="204" spans="1:4" ht="15" customHeight="1" x14ac:dyDescent="0.35">
      <c r="A204" s="3" t="s">
        <v>60</v>
      </c>
      <c r="B204" s="3"/>
      <c r="C204" s="3"/>
      <c r="D204" s="3"/>
    </row>
    <row r="205" spans="1:4" ht="15" customHeight="1" x14ac:dyDescent="0.35">
      <c r="A205" s="6" t="s">
        <v>299</v>
      </c>
      <c r="B205" s="6"/>
      <c r="C205" s="6"/>
      <c r="D205" s="6"/>
    </row>
    <row r="206" spans="1:4" ht="15" customHeight="1" x14ac:dyDescent="0.35">
      <c r="A206" s="3" t="s">
        <v>61</v>
      </c>
      <c r="B206" s="3"/>
      <c r="C206" s="3"/>
      <c r="D206" s="3"/>
    </row>
    <row r="207" spans="1:4" ht="15" customHeight="1" x14ac:dyDescent="0.35">
      <c r="A207" s="6" t="s">
        <v>300</v>
      </c>
      <c r="B207" s="6"/>
      <c r="C207" s="6"/>
      <c r="D207" s="6"/>
    </row>
    <row r="208" spans="1:4" ht="15" customHeight="1" x14ac:dyDescent="0.35">
      <c r="A208" s="3" t="s">
        <v>62</v>
      </c>
      <c r="B208" s="3"/>
      <c r="C208" s="3"/>
      <c r="D208" s="3"/>
    </row>
    <row r="209" spans="1:4" ht="15" customHeight="1" x14ac:dyDescent="0.35">
      <c r="A209" s="6" t="s">
        <v>301</v>
      </c>
      <c r="B209" s="6"/>
      <c r="C209" s="6"/>
      <c r="D209" s="6"/>
    </row>
    <row r="210" spans="1:4" ht="15" customHeight="1" x14ac:dyDescent="0.35">
      <c r="A210" s="3" t="s">
        <v>63</v>
      </c>
      <c r="B210" s="3"/>
      <c r="C210" s="3"/>
      <c r="D210" s="3"/>
    </row>
    <row r="211" spans="1:4" ht="15" customHeight="1" x14ac:dyDescent="0.35">
      <c r="A211" s="6" t="s">
        <v>302</v>
      </c>
      <c r="B211" s="6"/>
      <c r="C211" s="6"/>
      <c r="D211" s="6"/>
    </row>
    <row r="213" spans="1:4" ht="19.5" customHeight="1" x14ac:dyDescent="0.35">
      <c r="A213" s="7" t="s">
        <v>303</v>
      </c>
      <c r="B213" s="7"/>
      <c r="C213" s="7"/>
      <c r="D213" s="7"/>
    </row>
    <row r="214" spans="1:4" ht="15" customHeight="1" x14ac:dyDescent="0.35">
      <c r="A214" s="6" t="s">
        <v>304</v>
      </c>
      <c r="B214" s="6"/>
      <c r="C214" s="6"/>
      <c r="D214" s="6"/>
    </row>
    <row r="215" spans="1:4" ht="15" customHeight="1" x14ac:dyDescent="0.35">
      <c r="A215" s="6" t="s">
        <v>305</v>
      </c>
      <c r="B215" s="6"/>
      <c r="C215" s="6"/>
      <c r="D215" s="6"/>
    </row>
    <row r="216" spans="1:4" ht="15" customHeight="1" x14ac:dyDescent="0.35">
      <c r="A216" s="4" t="s">
        <v>306</v>
      </c>
      <c r="B216" s="4"/>
      <c r="C216" s="4"/>
      <c r="D216" s="4"/>
    </row>
    <row r="217" spans="1:4" ht="15" customHeight="1" x14ac:dyDescent="0.35">
      <c r="A217" s="4" t="s">
        <v>307</v>
      </c>
      <c r="B217" s="4"/>
      <c r="C217" s="4"/>
      <c r="D217" s="4"/>
    </row>
    <row r="218" spans="1:4" ht="15" customHeight="1" x14ac:dyDescent="0.35">
      <c r="A218" s="4" t="s">
        <v>308</v>
      </c>
      <c r="B218" s="4"/>
      <c r="C218" s="4"/>
      <c r="D218" s="4"/>
    </row>
    <row r="219" spans="1:4" ht="15" customHeight="1" x14ac:dyDescent="0.35">
      <c r="A219" s="4" t="s">
        <v>309</v>
      </c>
      <c r="B219" s="4"/>
      <c r="C219" s="4"/>
      <c r="D219" s="4"/>
    </row>
    <row r="220" spans="1:4" ht="15" customHeight="1" x14ac:dyDescent="0.35">
      <c r="A220" s="4" t="s">
        <v>248</v>
      </c>
      <c r="B220" s="4"/>
      <c r="C220" s="4"/>
      <c r="D220" s="4"/>
    </row>
    <row r="221" spans="1:4" ht="15" customHeight="1" x14ac:dyDescent="0.35">
      <c r="A221" s="4" t="s">
        <v>250</v>
      </c>
      <c r="B221" s="4"/>
      <c r="C221" s="4"/>
      <c r="D221" s="4"/>
    </row>
    <row r="222" spans="1:4" ht="15" customHeight="1" x14ac:dyDescent="0.35">
      <c r="A222" s="4" t="s">
        <v>249</v>
      </c>
      <c r="B222" s="4"/>
      <c r="C222" s="4"/>
      <c r="D222" s="4"/>
    </row>
    <row r="223" spans="1:4" ht="15" customHeight="1" x14ac:dyDescent="0.35">
      <c r="A223" s="4" t="s">
        <v>310</v>
      </c>
      <c r="B223" s="4"/>
      <c r="C223" s="4"/>
      <c r="D223" s="4"/>
    </row>
    <row r="224" spans="1:4" ht="15" customHeight="1" x14ac:dyDescent="0.35">
      <c r="A224" s="4" t="s">
        <v>311</v>
      </c>
      <c r="B224" s="4"/>
      <c r="C224" s="4"/>
      <c r="D224" s="4"/>
    </row>
    <row r="225" spans="1:4" ht="15" customHeight="1" x14ac:dyDescent="0.35">
      <c r="A225" s="4" t="s">
        <v>312</v>
      </c>
      <c r="B225" s="4"/>
      <c r="C225" s="4"/>
      <c r="D225" s="4"/>
    </row>
    <row r="226" spans="1:4" ht="15" customHeight="1" x14ac:dyDescent="0.35">
      <c r="A226" s="4" t="s">
        <v>313</v>
      </c>
      <c r="B226" s="4"/>
      <c r="C226" s="4"/>
      <c r="D226" s="4"/>
    </row>
    <row r="227" spans="1:4" ht="27.75" customHeight="1" x14ac:dyDescent="0.35">
      <c r="A227" s="6" t="s">
        <v>314</v>
      </c>
      <c r="B227" s="6"/>
      <c r="C227" s="6"/>
      <c r="D227" s="6"/>
    </row>
    <row r="229" spans="1:4" ht="19.5" customHeight="1" x14ac:dyDescent="0.35">
      <c r="A229" s="7" t="s">
        <v>315</v>
      </c>
      <c r="B229" s="7"/>
      <c r="C229" s="7"/>
      <c r="D229" s="7"/>
    </row>
    <row r="230" spans="1:4" ht="15" customHeight="1" x14ac:dyDescent="0.35">
      <c r="A230" s="27" t="s">
        <v>316</v>
      </c>
      <c r="B230" s="27" t="s">
        <v>138</v>
      </c>
      <c r="C230" s="27"/>
      <c r="D230" s="27"/>
    </row>
    <row r="231" spans="1:4" ht="15" customHeight="1" x14ac:dyDescent="0.35">
      <c r="A231" s="22" t="s">
        <v>317</v>
      </c>
      <c r="B231" s="22" t="s">
        <v>318</v>
      </c>
      <c r="C231" s="22"/>
      <c r="D231" s="22"/>
    </row>
    <row r="232" spans="1:4" ht="23.25" customHeight="1" x14ac:dyDescent="0.35">
      <c r="A232" s="22" t="s">
        <v>319</v>
      </c>
      <c r="B232" s="22" t="s">
        <v>320</v>
      </c>
      <c r="C232" s="28"/>
      <c r="D232" s="28"/>
    </row>
    <row r="233" spans="1:4" ht="15" customHeight="1" x14ac:dyDescent="0.35">
      <c r="A233" s="22" t="s">
        <v>321</v>
      </c>
      <c r="B233" s="22" t="s">
        <v>322</v>
      </c>
      <c r="C233" s="22"/>
      <c r="D233" s="22"/>
    </row>
    <row r="234" spans="1:4" ht="15" customHeight="1" x14ac:dyDescent="0.35">
      <c r="A234" s="22" t="s">
        <v>323</v>
      </c>
      <c r="B234" s="22" t="s">
        <v>324</v>
      </c>
      <c r="C234" s="28"/>
      <c r="D234" s="28"/>
    </row>
    <row r="235" spans="1:4" ht="15" customHeight="1" x14ac:dyDescent="0.35">
      <c r="A235" s="22" t="s">
        <v>325</v>
      </c>
      <c r="B235" s="22" t="s">
        <v>326</v>
      </c>
      <c r="C235" s="22"/>
      <c r="D235" s="22"/>
    </row>
    <row r="236" spans="1:4" ht="15" customHeight="1" x14ac:dyDescent="0.35">
      <c r="A236" s="22" t="s">
        <v>327</v>
      </c>
      <c r="B236" s="22" t="s">
        <v>328</v>
      </c>
      <c r="C236" s="28"/>
      <c r="D236" s="28"/>
    </row>
    <row r="237" spans="1:4" ht="15" customHeight="1" x14ac:dyDescent="0.35">
      <c r="A237" s="22" t="s">
        <v>329</v>
      </c>
      <c r="B237" s="22" t="s">
        <v>330</v>
      </c>
      <c r="C237" s="22"/>
      <c r="D237" s="22"/>
    </row>
    <row r="238" spans="1:4" ht="15" customHeight="1" x14ac:dyDescent="0.35">
      <c r="A238" s="22" t="s">
        <v>331</v>
      </c>
      <c r="B238" s="22" t="s">
        <v>332</v>
      </c>
      <c r="C238" s="28"/>
      <c r="D238" s="28"/>
    </row>
    <row r="239" spans="1:4" ht="15" customHeight="1" x14ac:dyDescent="0.35">
      <c r="A239" s="22" t="s">
        <v>333</v>
      </c>
      <c r="B239" s="22" t="s">
        <v>334</v>
      </c>
      <c r="C239" s="22"/>
      <c r="D239" s="22"/>
    </row>
    <row r="241" spans="1:4" ht="19.5" customHeight="1" x14ac:dyDescent="0.35">
      <c r="A241" s="7" t="s">
        <v>335</v>
      </c>
      <c r="B241" s="7"/>
      <c r="C241" s="7"/>
      <c r="D241" s="7"/>
    </row>
    <row r="242" spans="1:4" ht="54.75" customHeight="1" x14ac:dyDescent="0.35">
      <c r="A242" s="6" t="s">
        <v>336</v>
      </c>
      <c r="B242" s="6"/>
      <c r="C242" s="6"/>
      <c r="D242" s="6"/>
    </row>
  </sheetData>
  <mergeCells count="154">
    <mergeCell ref="A242:D242"/>
    <mergeCell ref="A221:D221"/>
    <mergeCell ref="A222:D222"/>
    <mergeCell ref="A223:D223"/>
    <mergeCell ref="A224:D224"/>
    <mergeCell ref="A225:D225"/>
    <mergeCell ref="A226:D226"/>
    <mergeCell ref="A227:D227"/>
    <mergeCell ref="A229:D229"/>
    <mergeCell ref="A241:D241"/>
    <mergeCell ref="A211:D211"/>
    <mergeCell ref="A213:D213"/>
    <mergeCell ref="A214:D214"/>
    <mergeCell ref="A215:D215"/>
    <mergeCell ref="A216:D216"/>
    <mergeCell ref="A217:D217"/>
    <mergeCell ref="A218:D218"/>
    <mergeCell ref="A219:D219"/>
    <mergeCell ref="A220:D220"/>
    <mergeCell ref="A202:D202"/>
    <mergeCell ref="A203:D203"/>
    <mergeCell ref="A204:D204"/>
    <mergeCell ref="A205:D205"/>
    <mergeCell ref="A206:D206"/>
    <mergeCell ref="A207:D207"/>
    <mergeCell ref="A208:D208"/>
    <mergeCell ref="A209:D209"/>
    <mergeCell ref="A210:D210"/>
    <mergeCell ref="A172:D172"/>
    <mergeCell ref="A173:D173"/>
    <mergeCell ref="A174:D174"/>
    <mergeCell ref="A176:D176"/>
    <mergeCell ref="A177:D177"/>
    <mergeCell ref="A178:D178"/>
    <mergeCell ref="A186:D186"/>
    <mergeCell ref="B194:D194"/>
    <mergeCell ref="A195:D195"/>
    <mergeCell ref="A163:D163"/>
    <mergeCell ref="A164:D164"/>
    <mergeCell ref="A165:D165"/>
    <mergeCell ref="A166:D166"/>
    <mergeCell ref="A167:D167"/>
    <mergeCell ref="A168:D168"/>
    <mergeCell ref="A169:D169"/>
    <mergeCell ref="A170:D170"/>
    <mergeCell ref="A171:D171"/>
    <mergeCell ref="A153:D153"/>
    <mergeCell ref="A154:D154"/>
    <mergeCell ref="A155:D155"/>
    <mergeCell ref="A156:D156"/>
    <mergeCell ref="A157:D157"/>
    <mergeCell ref="A158:D158"/>
    <mergeCell ref="A159:D159"/>
    <mergeCell ref="A160:D160"/>
    <mergeCell ref="A162:D162"/>
    <mergeCell ref="A144:D144"/>
    <mergeCell ref="A145:D145"/>
    <mergeCell ref="A146:D146"/>
    <mergeCell ref="A147:D147"/>
    <mergeCell ref="A148:D148"/>
    <mergeCell ref="A149:D149"/>
    <mergeCell ref="A150:D150"/>
    <mergeCell ref="A151:D151"/>
    <mergeCell ref="A152:D152"/>
    <mergeCell ref="A122:D122"/>
    <mergeCell ref="A135:D135"/>
    <mergeCell ref="A137:D137"/>
    <mergeCell ref="A138:D138"/>
    <mergeCell ref="A139:D139"/>
    <mergeCell ref="A140:D140"/>
    <mergeCell ref="A141:D141"/>
    <mergeCell ref="A142:D142"/>
    <mergeCell ref="A143:D143"/>
    <mergeCell ref="A112:D112"/>
    <mergeCell ref="A113:D113"/>
    <mergeCell ref="A114:D114"/>
    <mergeCell ref="A115:D115"/>
    <mergeCell ref="A116:D116"/>
    <mergeCell ref="A117:D117"/>
    <mergeCell ref="A118:D118"/>
    <mergeCell ref="A119:D119"/>
    <mergeCell ref="A121:D121"/>
    <mergeCell ref="A102:D102"/>
    <mergeCell ref="A103:D103"/>
    <mergeCell ref="A104:D104"/>
    <mergeCell ref="A105:D105"/>
    <mergeCell ref="A106:D106"/>
    <mergeCell ref="A107:D107"/>
    <mergeCell ref="A108:D108"/>
    <mergeCell ref="A109:D109"/>
    <mergeCell ref="A110:D110"/>
    <mergeCell ref="A93:D93"/>
    <mergeCell ref="A94:D94"/>
    <mergeCell ref="A95:D95"/>
    <mergeCell ref="A96:D96"/>
    <mergeCell ref="A97:D97"/>
    <mergeCell ref="A98:D98"/>
    <mergeCell ref="A99:D99"/>
    <mergeCell ref="A100:D100"/>
    <mergeCell ref="A101:D101"/>
    <mergeCell ref="A83:D83"/>
    <mergeCell ref="A84:D84"/>
    <mergeCell ref="A85:D85"/>
    <mergeCell ref="A87:D87"/>
    <mergeCell ref="A88:D88"/>
    <mergeCell ref="A89:D89"/>
    <mergeCell ref="A90:D90"/>
    <mergeCell ref="A91:D91"/>
    <mergeCell ref="A92:D92"/>
    <mergeCell ref="A74:D74"/>
    <mergeCell ref="A75:D75"/>
    <mergeCell ref="A76:D76"/>
    <mergeCell ref="A77:D77"/>
    <mergeCell ref="A78:D78"/>
    <mergeCell ref="A79:D79"/>
    <mergeCell ref="A80:D80"/>
    <mergeCell ref="A81:D81"/>
    <mergeCell ref="A82:D82"/>
    <mergeCell ref="A42:D42"/>
    <mergeCell ref="A43:D43"/>
    <mergeCell ref="A44:D44"/>
    <mergeCell ref="A45:D45"/>
    <mergeCell ref="A47:D47"/>
    <mergeCell ref="A48:D48"/>
    <mergeCell ref="A62:D62"/>
    <mergeCell ref="A63:D63"/>
    <mergeCell ref="A73:D73"/>
    <mergeCell ref="A21:D21"/>
    <mergeCell ref="A22:D22"/>
    <mergeCell ref="A24:D24"/>
    <mergeCell ref="A25:D25"/>
    <mergeCell ref="A37:D37"/>
    <mergeCell ref="A38:D38"/>
    <mergeCell ref="A39:D39"/>
    <mergeCell ref="A40:D40"/>
    <mergeCell ref="A41:D41"/>
    <mergeCell ref="B11:D11"/>
    <mergeCell ref="B12:D12"/>
    <mergeCell ref="B13:D13"/>
    <mergeCell ref="B14:D14"/>
    <mergeCell ref="B15:D15"/>
    <mergeCell ref="B16:D16"/>
    <mergeCell ref="B17:D17"/>
    <mergeCell ref="B18:D18"/>
    <mergeCell ref="A20:D20"/>
    <mergeCell ref="A1:D1"/>
    <mergeCell ref="A2:D2"/>
    <mergeCell ref="A4:D4"/>
    <mergeCell ref="B5:D5"/>
    <mergeCell ref="B6:D6"/>
    <mergeCell ref="B7:D7"/>
    <mergeCell ref="B8:D8"/>
    <mergeCell ref="B9:D9"/>
    <mergeCell ref="B10:D10"/>
  </mergeCells>
  <pageMargins left="0.4" right="0.4" top="0.5" bottom="0.5"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14"/>
  <sheetViews>
    <sheetView showGridLines="0" zoomScaleNormal="100" workbookViewId="0">
      <pane ySplit="4" topLeftCell="A5" activePane="bottomLeft" state="frozen"/>
      <selection pane="bottomLeft" activeCell="D20" sqref="D20"/>
    </sheetView>
  </sheetViews>
  <sheetFormatPr defaultColWidth="8.6328125" defaultRowHeight="14.5" x14ac:dyDescent="0.35"/>
  <cols>
    <col min="1" max="1" width="10" customWidth="1"/>
    <col min="2" max="2" width="22" customWidth="1"/>
    <col min="3" max="3" width="16" customWidth="1"/>
    <col min="4" max="4" width="42" customWidth="1"/>
    <col min="5" max="5" width="16" customWidth="1"/>
    <col min="6" max="6" width="12" customWidth="1"/>
    <col min="7" max="7" width="14" customWidth="1"/>
    <col min="8" max="8" width="10" customWidth="1"/>
    <col min="9" max="9" width="12" customWidth="1"/>
  </cols>
  <sheetData>
    <row r="1" spans="1:9" ht="24" customHeight="1" x14ac:dyDescent="0.35">
      <c r="A1" s="2" t="s">
        <v>337</v>
      </c>
      <c r="B1" s="2"/>
      <c r="C1" s="2"/>
      <c r="D1" s="2"/>
      <c r="E1" s="2"/>
      <c r="F1" s="2"/>
      <c r="G1" s="2"/>
      <c r="H1" s="2"/>
      <c r="I1" s="2"/>
    </row>
    <row r="2" spans="1:9" ht="15.75" customHeight="1" x14ac:dyDescent="0.35">
      <c r="A2" s="1" t="s">
        <v>338</v>
      </c>
      <c r="B2" s="1"/>
      <c r="C2" s="1"/>
      <c r="D2" s="1"/>
      <c r="E2" s="1"/>
      <c r="F2" s="1"/>
      <c r="G2" s="1"/>
      <c r="H2" s="1"/>
      <c r="I2" s="1"/>
    </row>
    <row r="3" spans="1:9" ht="15" customHeight="1" x14ac:dyDescent="0.35">
      <c r="A3" s="15"/>
    </row>
    <row r="4" spans="1:9" ht="25.5" customHeight="1" x14ac:dyDescent="0.35">
      <c r="A4" s="27" t="s">
        <v>339</v>
      </c>
      <c r="B4" s="27" t="s">
        <v>340</v>
      </c>
      <c r="C4" s="27" t="s">
        <v>341</v>
      </c>
      <c r="D4" s="27" t="s">
        <v>342</v>
      </c>
      <c r="E4" s="27" t="s">
        <v>343</v>
      </c>
      <c r="F4" s="27" t="s">
        <v>344</v>
      </c>
      <c r="G4" s="27" t="s">
        <v>221</v>
      </c>
      <c r="H4" s="27" t="s">
        <v>223</v>
      </c>
      <c r="I4" s="27" t="s">
        <v>44</v>
      </c>
    </row>
    <row r="5" spans="1:9" ht="27.75" customHeight="1" x14ac:dyDescent="0.35">
      <c r="A5" s="21" t="s">
        <v>345</v>
      </c>
      <c r="B5" s="21" t="s">
        <v>143</v>
      </c>
      <c r="C5" s="21" t="s">
        <v>346</v>
      </c>
      <c r="D5" s="22" t="s">
        <v>347</v>
      </c>
      <c r="E5" s="21" t="s">
        <v>348</v>
      </c>
      <c r="F5" s="21" t="s">
        <v>31</v>
      </c>
      <c r="G5" s="21" t="s">
        <v>32</v>
      </c>
      <c r="H5" s="21" t="s">
        <v>32</v>
      </c>
      <c r="I5" s="21" t="s">
        <v>32</v>
      </c>
    </row>
    <row r="6" spans="1:9" ht="27.75" customHeight="1" x14ac:dyDescent="0.35">
      <c r="A6" s="21" t="s">
        <v>349</v>
      </c>
      <c r="B6" s="21" t="s">
        <v>141</v>
      </c>
      <c r="C6" s="21" t="s">
        <v>350</v>
      </c>
      <c r="D6" s="22" t="s">
        <v>351</v>
      </c>
      <c r="E6" s="21" t="s">
        <v>352</v>
      </c>
      <c r="F6" s="21" t="s">
        <v>31</v>
      </c>
      <c r="G6" s="21" t="s">
        <v>32</v>
      </c>
      <c r="H6" s="21" t="s">
        <v>32</v>
      </c>
      <c r="I6" s="21" t="s">
        <v>32</v>
      </c>
    </row>
    <row r="7" spans="1:9" ht="27.75" customHeight="1" x14ac:dyDescent="0.35">
      <c r="A7" s="21" t="s">
        <v>353</v>
      </c>
      <c r="B7" s="21" t="s">
        <v>139</v>
      </c>
      <c r="C7" s="21" t="s">
        <v>354</v>
      </c>
      <c r="D7" s="22" t="s">
        <v>355</v>
      </c>
      <c r="E7" s="21" t="s">
        <v>356</v>
      </c>
      <c r="F7" s="21" t="s">
        <v>31</v>
      </c>
      <c r="G7" s="21" t="s">
        <v>32</v>
      </c>
      <c r="H7" s="21" t="s">
        <v>32</v>
      </c>
      <c r="I7" s="21" t="s">
        <v>32</v>
      </c>
    </row>
    <row r="8" spans="1:9" ht="27.75" customHeight="1" x14ac:dyDescent="0.35">
      <c r="A8" s="21" t="s">
        <v>357</v>
      </c>
      <c r="B8" s="21" t="s">
        <v>358</v>
      </c>
      <c r="C8" s="21" t="s">
        <v>359</v>
      </c>
      <c r="D8" s="22" t="s">
        <v>360</v>
      </c>
      <c r="E8" s="21" t="s">
        <v>361</v>
      </c>
      <c r="F8" s="35" t="s">
        <v>32</v>
      </c>
      <c r="G8" s="21" t="s">
        <v>33</v>
      </c>
      <c r="H8" s="21" t="s">
        <v>32</v>
      </c>
      <c r="I8" s="21" t="s">
        <v>32</v>
      </c>
    </row>
    <row r="9" spans="1:9" ht="27.75" customHeight="1" x14ac:dyDescent="0.35">
      <c r="A9" s="21" t="s">
        <v>362</v>
      </c>
      <c r="B9" s="21" t="s">
        <v>147</v>
      </c>
      <c r="C9" s="21" t="s">
        <v>363</v>
      </c>
      <c r="D9" s="22" t="s">
        <v>364</v>
      </c>
      <c r="E9" s="21" t="s">
        <v>361</v>
      </c>
      <c r="F9" s="21" t="s">
        <v>32</v>
      </c>
      <c r="G9" s="21" t="s">
        <v>32</v>
      </c>
      <c r="H9" s="21" t="s">
        <v>33</v>
      </c>
      <c r="I9" s="21" t="s">
        <v>32</v>
      </c>
    </row>
    <row r="10" spans="1:9" ht="27.75" customHeight="1" x14ac:dyDescent="0.35">
      <c r="A10" s="21" t="s">
        <v>365</v>
      </c>
      <c r="B10" s="21" t="s">
        <v>366</v>
      </c>
      <c r="C10" s="21" t="s">
        <v>367</v>
      </c>
      <c r="D10" s="22" t="s">
        <v>368</v>
      </c>
      <c r="E10" s="21" t="s">
        <v>369</v>
      </c>
      <c r="F10" s="21" t="s">
        <v>31</v>
      </c>
      <c r="G10" s="21" t="s">
        <v>32</v>
      </c>
      <c r="H10" s="21" t="s">
        <v>32</v>
      </c>
      <c r="I10" s="21" t="s">
        <v>32</v>
      </c>
    </row>
    <row r="11" spans="1:9" ht="27.75" customHeight="1" x14ac:dyDescent="0.35">
      <c r="A11" s="21" t="s">
        <v>370</v>
      </c>
      <c r="B11" s="21" t="s">
        <v>371</v>
      </c>
      <c r="C11" s="21" t="s">
        <v>354</v>
      </c>
      <c r="D11" s="22" t="s">
        <v>372</v>
      </c>
      <c r="E11" s="21" t="s">
        <v>361</v>
      </c>
      <c r="F11" s="21" t="s">
        <v>31</v>
      </c>
      <c r="G11" s="21" t="s">
        <v>32</v>
      </c>
      <c r="H11" s="21" t="s">
        <v>32</v>
      </c>
      <c r="I11" s="21" t="s">
        <v>32</v>
      </c>
    </row>
    <row r="12" spans="1:9" ht="27.75" customHeight="1" x14ac:dyDescent="0.35">
      <c r="A12" s="21" t="s">
        <v>373</v>
      </c>
      <c r="B12" s="21" t="s">
        <v>151</v>
      </c>
      <c r="C12" s="21" t="s">
        <v>374</v>
      </c>
      <c r="D12" s="22" t="s">
        <v>375</v>
      </c>
      <c r="E12" s="21" t="s">
        <v>376</v>
      </c>
      <c r="F12" s="21" t="s">
        <v>32</v>
      </c>
      <c r="G12" s="21" t="s">
        <v>33</v>
      </c>
      <c r="H12" s="21" t="s">
        <v>32</v>
      </c>
      <c r="I12" s="21" t="s">
        <v>32</v>
      </c>
    </row>
    <row r="13" spans="1:9" ht="27.75" customHeight="1" x14ac:dyDescent="0.35">
      <c r="A13" s="21" t="s">
        <v>377</v>
      </c>
      <c r="B13" s="21" t="s">
        <v>149</v>
      </c>
      <c r="C13" s="21" t="s">
        <v>374</v>
      </c>
      <c r="D13" s="22" t="s">
        <v>378</v>
      </c>
      <c r="E13" s="21" t="s">
        <v>376</v>
      </c>
      <c r="F13" s="21" t="s">
        <v>32</v>
      </c>
      <c r="G13" s="21" t="s">
        <v>32</v>
      </c>
      <c r="H13" s="21" t="s">
        <v>32</v>
      </c>
      <c r="I13" s="21" t="s">
        <v>32</v>
      </c>
    </row>
    <row r="14" spans="1:9" ht="27.75" customHeight="1" x14ac:dyDescent="0.35">
      <c r="A14" s="21" t="s">
        <v>379</v>
      </c>
      <c r="B14" s="21" t="s">
        <v>145</v>
      </c>
      <c r="C14" s="21" t="s">
        <v>380</v>
      </c>
      <c r="D14" s="22" t="s">
        <v>381</v>
      </c>
      <c r="E14" s="21" t="s">
        <v>382</v>
      </c>
      <c r="F14" s="21" t="s">
        <v>32</v>
      </c>
      <c r="G14" s="21" t="s">
        <v>32</v>
      </c>
      <c r="H14" s="21" t="s">
        <v>32</v>
      </c>
      <c r="I14" s="21" t="s">
        <v>33</v>
      </c>
    </row>
  </sheetData>
  <autoFilter ref="A4:I14" xr:uid="{00000000-0009-0000-0000-000002000000}"/>
  <mergeCells count="2">
    <mergeCell ref="A1:I1"/>
    <mergeCell ref="A2:I2"/>
  </mergeCells>
  <conditionalFormatting sqref="F5:F14">
    <cfRule type="expression" dxfId="3" priority="2">
      <formula>EXACT($F5,"Critical")</formula>
    </cfRule>
    <cfRule type="expression" dxfId="2" priority="3">
      <formula>EXACT($F5,"High")</formula>
    </cfRule>
    <cfRule type="expression" dxfId="1" priority="4">
      <formula>EXACT($F5,"Medium")</formula>
    </cfRule>
    <cfRule type="expression" dxfId="0" priority="5">
      <formula>EXACT($F5,"Low")</formula>
    </cfRule>
  </conditionalFormatting>
  <pageMargins left="0.4" right="0.4" top="0.5" bottom="0.5"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19"/>
  <sheetViews>
    <sheetView showGridLines="0" zoomScaleNormal="100" workbookViewId="0">
      <pane ySplit="4" topLeftCell="A5" activePane="bottomLeft" state="frozen"/>
      <selection pane="bottomLeft" sqref="A1:N1"/>
    </sheetView>
  </sheetViews>
  <sheetFormatPr defaultColWidth="8.6328125" defaultRowHeight="14.5" x14ac:dyDescent="0.35"/>
  <cols>
    <col min="1" max="1" width="10" customWidth="1"/>
    <col min="2" max="3" width="20" customWidth="1"/>
    <col min="4" max="4" width="42" customWidth="1"/>
    <col min="5" max="5" width="16" customWidth="1"/>
    <col min="6" max="6" width="24" customWidth="1"/>
    <col min="7" max="7" width="11" customWidth="1"/>
    <col min="8" max="8" width="9" customWidth="1"/>
    <col min="9" max="9" width="11" customWidth="1"/>
    <col min="10" max="10" width="12" customWidth="1"/>
    <col min="11" max="11" width="26" customWidth="1"/>
    <col min="12" max="12" width="11" customWidth="1"/>
    <col min="13" max="13" width="14" customWidth="1"/>
    <col min="14" max="14" width="12" customWidth="1"/>
  </cols>
  <sheetData>
    <row r="1" spans="1:14" ht="24" customHeight="1" x14ac:dyDescent="0.35">
      <c r="A1" s="2" t="s">
        <v>383</v>
      </c>
      <c r="B1" s="2"/>
      <c r="C1" s="2"/>
      <c r="D1" s="2"/>
      <c r="E1" s="2"/>
      <c r="F1" s="2"/>
      <c r="G1" s="2"/>
      <c r="H1" s="2"/>
      <c r="I1" s="2"/>
      <c r="J1" s="2"/>
      <c r="K1" s="2"/>
      <c r="L1" s="2"/>
      <c r="M1" s="2"/>
      <c r="N1" s="2"/>
    </row>
    <row r="2" spans="1:14" ht="15.75" customHeight="1" x14ac:dyDescent="0.35">
      <c r="A2" s="1" t="s">
        <v>384</v>
      </c>
      <c r="B2" s="1"/>
      <c r="C2" s="1"/>
      <c r="D2" s="1"/>
      <c r="E2" s="1"/>
      <c r="F2" s="1"/>
      <c r="G2" s="1"/>
      <c r="H2" s="1"/>
      <c r="I2" s="1"/>
      <c r="J2" s="1"/>
      <c r="K2" s="1"/>
      <c r="L2" s="1"/>
      <c r="M2" s="1"/>
      <c r="N2" s="1"/>
    </row>
    <row r="3" spans="1:14" ht="15" customHeight="1" x14ac:dyDescent="0.35">
      <c r="A3" s="15"/>
    </row>
    <row r="4" spans="1:14" ht="25.5" customHeight="1" x14ac:dyDescent="0.35">
      <c r="A4" s="27" t="s">
        <v>14</v>
      </c>
      <c r="B4" s="27" t="s">
        <v>385</v>
      </c>
      <c r="C4" s="27" t="s">
        <v>36</v>
      </c>
      <c r="D4" s="27" t="s">
        <v>386</v>
      </c>
      <c r="E4" s="27" t="s">
        <v>387</v>
      </c>
      <c r="F4" s="27" t="s">
        <v>388</v>
      </c>
      <c r="G4" s="27" t="s">
        <v>274</v>
      </c>
      <c r="H4" s="27" t="s">
        <v>284</v>
      </c>
      <c r="I4" s="27" t="s">
        <v>389</v>
      </c>
      <c r="J4" s="27" t="s">
        <v>29</v>
      </c>
      <c r="K4" s="27" t="s">
        <v>390</v>
      </c>
      <c r="L4" s="27" t="s">
        <v>18</v>
      </c>
      <c r="M4" s="27" t="s">
        <v>343</v>
      </c>
      <c r="N4" s="27" t="s">
        <v>54</v>
      </c>
    </row>
    <row r="5" spans="1:14" ht="30" customHeight="1" x14ac:dyDescent="0.35">
      <c r="A5" s="21" t="s">
        <v>19</v>
      </c>
      <c r="B5" s="21" t="s">
        <v>366</v>
      </c>
      <c r="C5" s="21" t="s">
        <v>38</v>
      </c>
      <c r="D5" s="22" t="s">
        <v>391</v>
      </c>
      <c r="E5" s="21" t="s">
        <v>392</v>
      </c>
      <c r="F5" s="21" t="s">
        <v>393</v>
      </c>
      <c r="G5" s="21">
        <v>4</v>
      </c>
      <c r="H5" s="21">
        <v>5</v>
      </c>
      <c r="I5" s="21">
        <f t="shared" ref="I5:I19" si="0">G5*H5</f>
        <v>20</v>
      </c>
      <c r="J5" s="21" t="str">
        <f t="shared" ref="J5:J19" si="1">IF(I5&gt;=17,"Critical",IF(I5&gt;=10,"High",IF(I5&gt;=5,"Medium","Low")))</f>
        <v>Critical</v>
      </c>
      <c r="K5" s="21" t="s">
        <v>394</v>
      </c>
      <c r="L5" s="21" t="s">
        <v>60</v>
      </c>
      <c r="M5" s="21" t="s">
        <v>369</v>
      </c>
      <c r="N5" s="21" t="s">
        <v>55</v>
      </c>
    </row>
    <row r="6" spans="1:14" ht="30" customHeight="1" x14ac:dyDescent="0.35">
      <c r="A6" s="21" t="s">
        <v>395</v>
      </c>
      <c r="B6" s="21" t="s">
        <v>141</v>
      </c>
      <c r="C6" s="21" t="s">
        <v>39</v>
      </c>
      <c r="D6" s="22" t="s">
        <v>396</v>
      </c>
      <c r="E6" s="21" t="s">
        <v>397</v>
      </c>
      <c r="F6" s="21" t="s">
        <v>398</v>
      </c>
      <c r="G6" s="21">
        <v>3</v>
      </c>
      <c r="H6" s="21">
        <v>5</v>
      </c>
      <c r="I6" s="21">
        <f t="shared" si="0"/>
        <v>15</v>
      </c>
      <c r="J6" s="21" t="str">
        <f t="shared" si="1"/>
        <v>High</v>
      </c>
      <c r="K6" s="21" t="s">
        <v>399</v>
      </c>
      <c r="L6" s="21" t="s">
        <v>60</v>
      </c>
      <c r="M6" s="21" t="s">
        <v>400</v>
      </c>
      <c r="N6" s="21" t="s">
        <v>55</v>
      </c>
    </row>
    <row r="7" spans="1:14" ht="30" customHeight="1" x14ac:dyDescent="0.35">
      <c r="A7" s="21" t="s">
        <v>401</v>
      </c>
      <c r="B7" s="21" t="s">
        <v>139</v>
      </c>
      <c r="C7" s="21" t="s">
        <v>40</v>
      </c>
      <c r="D7" s="22" t="s">
        <v>402</v>
      </c>
      <c r="E7" s="21" t="s">
        <v>403</v>
      </c>
      <c r="F7" s="21" t="s">
        <v>404</v>
      </c>
      <c r="G7" s="21">
        <v>3</v>
      </c>
      <c r="H7" s="21">
        <v>5</v>
      </c>
      <c r="I7" s="21">
        <f t="shared" si="0"/>
        <v>15</v>
      </c>
      <c r="J7" s="21" t="str">
        <f t="shared" si="1"/>
        <v>High</v>
      </c>
      <c r="K7" s="21" t="s">
        <v>405</v>
      </c>
      <c r="L7" s="21" t="s">
        <v>60</v>
      </c>
      <c r="M7" s="21" t="s">
        <v>356</v>
      </c>
      <c r="N7" s="21" t="s">
        <v>55</v>
      </c>
    </row>
    <row r="8" spans="1:14" ht="30" customHeight="1" x14ac:dyDescent="0.35">
      <c r="A8" s="21" t="s">
        <v>21</v>
      </c>
      <c r="B8" s="21" t="s">
        <v>358</v>
      </c>
      <c r="C8" s="21" t="s">
        <v>41</v>
      </c>
      <c r="D8" s="22" t="s">
        <v>406</v>
      </c>
      <c r="E8" s="21" t="s">
        <v>407</v>
      </c>
      <c r="F8" s="21" t="s">
        <v>408</v>
      </c>
      <c r="G8" s="21">
        <v>4</v>
      </c>
      <c r="H8" s="21">
        <v>4</v>
      </c>
      <c r="I8" s="21">
        <f t="shared" si="0"/>
        <v>16</v>
      </c>
      <c r="J8" s="21" t="str">
        <f t="shared" si="1"/>
        <v>High</v>
      </c>
      <c r="K8" s="21" t="s">
        <v>409</v>
      </c>
      <c r="L8" s="21" t="s">
        <v>60</v>
      </c>
      <c r="M8" s="21" t="s">
        <v>361</v>
      </c>
      <c r="N8" s="21" t="s">
        <v>55</v>
      </c>
    </row>
    <row r="9" spans="1:14" ht="30" customHeight="1" x14ac:dyDescent="0.35">
      <c r="A9" s="21" t="s">
        <v>22</v>
      </c>
      <c r="B9" s="21" t="s">
        <v>366</v>
      </c>
      <c r="C9" s="21" t="s">
        <v>38</v>
      </c>
      <c r="D9" s="22" t="s">
        <v>410</v>
      </c>
      <c r="E9" s="21" t="s">
        <v>411</v>
      </c>
      <c r="F9" s="21" t="s">
        <v>412</v>
      </c>
      <c r="G9" s="21">
        <v>4</v>
      </c>
      <c r="H9" s="21">
        <v>4</v>
      </c>
      <c r="I9" s="21">
        <f t="shared" si="0"/>
        <v>16</v>
      </c>
      <c r="J9" s="21" t="str">
        <f t="shared" si="1"/>
        <v>High</v>
      </c>
      <c r="K9" s="21" t="s">
        <v>413</v>
      </c>
      <c r="L9" s="21" t="s">
        <v>60</v>
      </c>
      <c r="M9" s="21" t="s">
        <v>369</v>
      </c>
      <c r="N9" s="21" t="s">
        <v>55</v>
      </c>
    </row>
    <row r="10" spans="1:14" ht="30" customHeight="1" x14ac:dyDescent="0.35">
      <c r="A10" s="21" t="s">
        <v>414</v>
      </c>
      <c r="B10" s="21" t="s">
        <v>143</v>
      </c>
      <c r="C10" s="21" t="s">
        <v>42</v>
      </c>
      <c r="D10" s="22" t="s">
        <v>415</v>
      </c>
      <c r="E10" s="21" t="s">
        <v>416</v>
      </c>
      <c r="F10" s="21" t="s">
        <v>417</v>
      </c>
      <c r="G10" s="21">
        <v>3</v>
      </c>
      <c r="H10" s="21">
        <v>5</v>
      </c>
      <c r="I10" s="21">
        <f t="shared" si="0"/>
        <v>15</v>
      </c>
      <c r="J10" s="21" t="str">
        <f t="shared" si="1"/>
        <v>High</v>
      </c>
      <c r="K10" s="21" t="s">
        <v>418</v>
      </c>
      <c r="L10" s="21" t="s">
        <v>60</v>
      </c>
      <c r="M10" s="21" t="s">
        <v>348</v>
      </c>
      <c r="N10" s="21" t="s">
        <v>55</v>
      </c>
    </row>
    <row r="11" spans="1:14" ht="30" customHeight="1" x14ac:dyDescent="0.35">
      <c r="A11" s="21" t="s">
        <v>419</v>
      </c>
      <c r="B11" s="21" t="s">
        <v>371</v>
      </c>
      <c r="C11" s="21" t="s">
        <v>43</v>
      </c>
      <c r="D11" s="22" t="s">
        <v>420</v>
      </c>
      <c r="E11" s="21" t="s">
        <v>421</v>
      </c>
      <c r="F11" s="21" t="s">
        <v>422</v>
      </c>
      <c r="G11" s="21">
        <v>3</v>
      </c>
      <c r="H11" s="21">
        <v>5</v>
      </c>
      <c r="I11" s="21">
        <f t="shared" si="0"/>
        <v>15</v>
      </c>
      <c r="J11" s="21" t="str">
        <f t="shared" si="1"/>
        <v>High</v>
      </c>
      <c r="K11" s="21" t="s">
        <v>371</v>
      </c>
      <c r="L11" s="21" t="s">
        <v>60</v>
      </c>
      <c r="M11" s="21" t="s">
        <v>361</v>
      </c>
      <c r="N11" s="21" t="s">
        <v>55</v>
      </c>
    </row>
    <row r="12" spans="1:14" ht="30" customHeight="1" x14ac:dyDescent="0.35">
      <c r="A12" s="21" t="s">
        <v>423</v>
      </c>
      <c r="B12" s="21" t="s">
        <v>141</v>
      </c>
      <c r="C12" s="21" t="s">
        <v>44</v>
      </c>
      <c r="D12" s="22" t="s">
        <v>424</v>
      </c>
      <c r="E12" s="21" t="s">
        <v>425</v>
      </c>
      <c r="F12" s="21" t="s">
        <v>426</v>
      </c>
      <c r="G12" s="21">
        <v>3</v>
      </c>
      <c r="H12" s="21">
        <v>4</v>
      </c>
      <c r="I12" s="21">
        <f t="shared" si="0"/>
        <v>12</v>
      </c>
      <c r="J12" s="21" t="str">
        <f t="shared" si="1"/>
        <v>High</v>
      </c>
      <c r="K12" s="21" t="s">
        <v>151</v>
      </c>
      <c r="L12" s="21" t="s">
        <v>60</v>
      </c>
      <c r="M12" s="21" t="s">
        <v>376</v>
      </c>
      <c r="N12" s="21" t="s">
        <v>55</v>
      </c>
    </row>
    <row r="13" spans="1:14" ht="30" customHeight="1" x14ac:dyDescent="0.35">
      <c r="A13" s="21" t="s">
        <v>427</v>
      </c>
      <c r="B13" s="21" t="s">
        <v>358</v>
      </c>
      <c r="C13" s="21" t="s">
        <v>41</v>
      </c>
      <c r="D13" s="22" t="s">
        <v>428</v>
      </c>
      <c r="E13" s="21" t="s">
        <v>429</v>
      </c>
      <c r="F13" s="21" t="s">
        <v>430</v>
      </c>
      <c r="G13" s="21">
        <v>3</v>
      </c>
      <c r="H13" s="21">
        <v>4</v>
      </c>
      <c r="I13" s="21">
        <f t="shared" si="0"/>
        <v>12</v>
      </c>
      <c r="J13" s="21" t="str">
        <f t="shared" si="1"/>
        <v>High</v>
      </c>
      <c r="K13" s="21" t="s">
        <v>153</v>
      </c>
      <c r="L13" s="21" t="s">
        <v>60</v>
      </c>
      <c r="M13" s="21" t="s">
        <v>361</v>
      </c>
      <c r="N13" s="21" t="s">
        <v>55</v>
      </c>
    </row>
    <row r="14" spans="1:14" ht="30" customHeight="1" x14ac:dyDescent="0.35">
      <c r="A14" s="21" t="s">
        <v>20</v>
      </c>
      <c r="B14" s="21" t="s">
        <v>139</v>
      </c>
      <c r="C14" s="21" t="s">
        <v>46</v>
      </c>
      <c r="D14" s="22" t="s">
        <v>431</v>
      </c>
      <c r="E14" s="21" t="s">
        <v>432</v>
      </c>
      <c r="F14" s="21" t="s">
        <v>433</v>
      </c>
      <c r="G14" s="21">
        <v>4</v>
      </c>
      <c r="H14" s="21">
        <v>5</v>
      </c>
      <c r="I14" s="21">
        <f t="shared" si="0"/>
        <v>20</v>
      </c>
      <c r="J14" s="21" t="str">
        <f t="shared" si="1"/>
        <v>Critical</v>
      </c>
      <c r="K14" s="21" t="s">
        <v>46</v>
      </c>
      <c r="L14" s="21" t="s">
        <v>60</v>
      </c>
      <c r="M14" s="21" t="s">
        <v>356</v>
      </c>
      <c r="N14" s="21" t="s">
        <v>55</v>
      </c>
    </row>
    <row r="15" spans="1:14" ht="30" customHeight="1" x14ac:dyDescent="0.35">
      <c r="A15" s="21" t="s">
        <v>434</v>
      </c>
      <c r="B15" s="21" t="s">
        <v>366</v>
      </c>
      <c r="C15" s="21" t="s">
        <v>38</v>
      </c>
      <c r="D15" s="22" t="s">
        <v>435</v>
      </c>
      <c r="E15" s="21" t="s">
        <v>436</v>
      </c>
      <c r="F15" s="21" t="s">
        <v>437</v>
      </c>
      <c r="G15" s="21">
        <v>3</v>
      </c>
      <c r="H15" s="21">
        <v>4</v>
      </c>
      <c r="I15" s="21">
        <f t="shared" si="0"/>
        <v>12</v>
      </c>
      <c r="J15" s="21" t="str">
        <f t="shared" si="1"/>
        <v>High</v>
      </c>
      <c r="K15" s="21" t="s">
        <v>438</v>
      </c>
      <c r="L15" s="21" t="s">
        <v>60</v>
      </c>
      <c r="M15" s="21" t="s">
        <v>369</v>
      </c>
      <c r="N15" s="21" t="s">
        <v>56</v>
      </c>
    </row>
    <row r="16" spans="1:14" ht="30" customHeight="1" x14ac:dyDescent="0.35">
      <c r="A16" s="21" t="s">
        <v>439</v>
      </c>
      <c r="B16" s="21" t="s">
        <v>145</v>
      </c>
      <c r="C16" s="21" t="s">
        <v>39</v>
      </c>
      <c r="D16" s="22" t="s">
        <v>440</v>
      </c>
      <c r="E16" s="21" t="s">
        <v>441</v>
      </c>
      <c r="F16" s="21" t="s">
        <v>442</v>
      </c>
      <c r="G16" s="21">
        <v>3</v>
      </c>
      <c r="H16" s="21">
        <v>5</v>
      </c>
      <c r="I16" s="21">
        <f t="shared" si="0"/>
        <v>15</v>
      </c>
      <c r="J16" s="21" t="str">
        <f t="shared" si="1"/>
        <v>High</v>
      </c>
      <c r="K16" s="21" t="s">
        <v>438</v>
      </c>
      <c r="L16" s="21" t="s">
        <v>60</v>
      </c>
      <c r="M16" s="21" t="s">
        <v>382</v>
      </c>
      <c r="N16" s="21" t="s">
        <v>55</v>
      </c>
    </row>
    <row r="17" spans="1:14" ht="30" customHeight="1" x14ac:dyDescent="0.35">
      <c r="A17" s="21" t="s">
        <v>23</v>
      </c>
      <c r="B17" s="21" t="s">
        <v>147</v>
      </c>
      <c r="C17" s="21" t="s">
        <v>38</v>
      </c>
      <c r="D17" s="22" t="s">
        <v>443</v>
      </c>
      <c r="E17" s="21" t="s">
        <v>444</v>
      </c>
      <c r="F17" s="21" t="s">
        <v>445</v>
      </c>
      <c r="G17" s="21">
        <v>4</v>
      </c>
      <c r="H17" s="21">
        <v>4</v>
      </c>
      <c r="I17" s="21">
        <f t="shared" si="0"/>
        <v>16</v>
      </c>
      <c r="J17" s="21" t="str">
        <f t="shared" si="1"/>
        <v>High</v>
      </c>
      <c r="K17" s="21" t="s">
        <v>446</v>
      </c>
      <c r="L17" s="21" t="s">
        <v>60</v>
      </c>
      <c r="M17" s="21" t="s">
        <v>361</v>
      </c>
      <c r="N17" s="21" t="s">
        <v>55</v>
      </c>
    </row>
    <row r="18" spans="1:14" ht="30" customHeight="1" x14ac:dyDescent="0.35">
      <c r="A18" s="21" t="s">
        <v>447</v>
      </c>
      <c r="B18" s="21" t="s">
        <v>151</v>
      </c>
      <c r="C18" s="21" t="s">
        <v>45</v>
      </c>
      <c r="D18" s="22" t="s">
        <v>448</v>
      </c>
      <c r="E18" s="21" t="s">
        <v>403</v>
      </c>
      <c r="F18" s="21" t="s">
        <v>449</v>
      </c>
      <c r="G18" s="21">
        <v>2</v>
      </c>
      <c r="H18" s="21">
        <v>5</v>
      </c>
      <c r="I18" s="21">
        <f t="shared" si="0"/>
        <v>10</v>
      </c>
      <c r="J18" s="21" t="str">
        <f t="shared" si="1"/>
        <v>High</v>
      </c>
      <c r="K18" s="21" t="s">
        <v>450</v>
      </c>
      <c r="L18" s="21" t="s">
        <v>60</v>
      </c>
      <c r="M18" s="21" t="s">
        <v>376</v>
      </c>
      <c r="N18" s="21" t="s">
        <v>56</v>
      </c>
    </row>
    <row r="19" spans="1:14" ht="30" customHeight="1" x14ac:dyDescent="0.35">
      <c r="A19" s="21" t="s">
        <v>451</v>
      </c>
      <c r="B19" s="21" t="s">
        <v>452</v>
      </c>
      <c r="C19" s="21" t="s">
        <v>47</v>
      </c>
      <c r="D19" s="22" t="s">
        <v>453</v>
      </c>
      <c r="E19" s="21" t="s">
        <v>454</v>
      </c>
      <c r="F19" s="21" t="s">
        <v>455</v>
      </c>
      <c r="G19" s="21">
        <v>3</v>
      </c>
      <c r="H19" s="21">
        <v>4</v>
      </c>
      <c r="I19" s="21">
        <f t="shared" si="0"/>
        <v>12</v>
      </c>
      <c r="J19" s="21" t="str">
        <f t="shared" si="1"/>
        <v>High</v>
      </c>
      <c r="K19" s="21" t="s">
        <v>159</v>
      </c>
      <c r="L19" s="21" t="s">
        <v>60</v>
      </c>
      <c r="M19" s="21" t="s">
        <v>456</v>
      </c>
      <c r="N19" s="21" t="s">
        <v>55</v>
      </c>
    </row>
  </sheetData>
  <autoFilter ref="A4:N19" xr:uid="{00000000-0009-0000-0000-000003000000}"/>
  <mergeCells count="2">
    <mergeCell ref="A1:N1"/>
    <mergeCell ref="A2:N2"/>
  </mergeCells>
  <conditionalFormatting sqref="J5:J19">
    <cfRule type="expression" dxfId="15" priority="2">
      <formula>EXACT($J5,"Critical")</formula>
    </cfRule>
    <cfRule type="expression" dxfId="14" priority="3">
      <formula>EXACT($J5,"High")</formula>
    </cfRule>
    <cfRule type="expression" dxfId="13" priority="4">
      <formula>EXACT($J5,"Medium")</formula>
    </cfRule>
    <cfRule type="expression" dxfId="12" priority="5">
      <formula>EXACT($J5,"Low")</formula>
    </cfRule>
  </conditionalFormatting>
  <pageMargins left="0.4" right="0.4" top="0.5" bottom="0.5"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19"/>
  <sheetViews>
    <sheetView showGridLines="0" zoomScaleNormal="100" workbookViewId="0">
      <pane ySplit="4" topLeftCell="A5" activePane="bottomLeft" state="frozen"/>
      <selection pane="bottomLeft"/>
    </sheetView>
  </sheetViews>
  <sheetFormatPr defaultColWidth="8.6328125" defaultRowHeight="14.5" x14ac:dyDescent="0.35"/>
  <cols>
    <col min="1" max="1" width="11" customWidth="1"/>
    <col min="2" max="2" width="28" customWidth="1"/>
    <col min="3" max="3" width="18" customWidth="1"/>
    <col min="4" max="4" width="46" customWidth="1"/>
    <col min="5" max="5" width="16" customWidth="1"/>
    <col min="6" max="6" width="14" customWidth="1"/>
    <col min="7" max="7" width="20" customWidth="1"/>
  </cols>
  <sheetData>
    <row r="1" spans="1:7" ht="24" customHeight="1" x14ac:dyDescent="0.35">
      <c r="A1" s="2" t="s">
        <v>457</v>
      </c>
      <c r="B1" s="2"/>
      <c r="C1" s="2"/>
      <c r="D1" s="2"/>
      <c r="E1" s="2"/>
      <c r="F1" s="2"/>
      <c r="G1" s="2"/>
    </row>
    <row r="2" spans="1:7" ht="15.75" customHeight="1" x14ac:dyDescent="0.35">
      <c r="A2" s="1" t="s">
        <v>458</v>
      </c>
      <c r="B2" s="1"/>
      <c r="C2" s="1"/>
      <c r="D2" s="1"/>
      <c r="E2" s="1"/>
      <c r="F2" s="1"/>
      <c r="G2" s="1"/>
    </row>
    <row r="3" spans="1:7" ht="15" customHeight="1" x14ac:dyDescent="0.35">
      <c r="A3" s="15"/>
    </row>
    <row r="4" spans="1:7" ht="25.5" customHeight="1" x14ac:dyDescent="0.35">
      <c r="A4" s="27" t="s">
        <v>459</v>
      </c>
      <c r="B4" s="27" t="s">
        <v>460</v>
      </c>
      <c r="C4" s="27" t="s">
        <v>461</v>
      </c>
      <c r="D4" s="27" t="s">
        <v>342</v>
      </c>
      <c r="E4" s="27" t="s">
        <v>343</v>
      </c>
      <c r="F4" s="27" t="s">
        <v>462</v>
      </c>
      <c r="G4" s="27" t="s">
        <v>54</v>
      </c>
    </row>
    <row r="5" spans="1:7" ht="27.75" customHeight="1" x14ac:dyDescent="0.35">
      <c r="A5" s="21" t="s">
        <v>463</v>
      </c>
      <c r="B5" s="21" t="s">
        <v>230</v>
      </c>
      <c r="C5" s="21" t="s">
        <v>464</v>
      </c>
      <c r="D5" s="22" t="s">
        <v>465</v>
      </c>
      <c r="E5" s="21" t="s">
        <v>369</v>
      </c>
      <c r="F5" s="21" t="s">
        <v>466</v>
      </c>
      <c r="G5" s="21" t="s">
        <v>51</v>
      </c>
    </row>
    <row r="6" spans="1:7" ht="27.75" customHeight="1" x14ac:dyDescent="0.35">
      <c r="A6" s="21" t="s">
        <v>467</v>
      </c>
      <c r="B6" s="21" t="s">
        <v>231</v>
      </c>
      <c r="C6" s="21" t="s">
        <v>464</v>
      </c>
      <c r="D6" s="22" t="s">
        <v>468</v>
      </c>
      <c r="E6" s="21" t="s">
        <v>369</v>
      </c>
      <c r="F6" s="21" t="s">
        <v>466</v>
      </c>
      <c r="G6" s="21" t="s">
        <v>50</v>
      </c>
    </row>
    <row r="7" spans="1:7" ht="27.75" customHeight="1" x14ac:dyDescent="0.35">
      <c r="A7" s="21" t="s">
        <v>469</v>
      </c>
      <c r="B7" s="21" t="s">
        <v>153</v>
      </c>
      <c r="C7" s="21" t="s">
        <v>470</v>
      </c>
      <c r="D7" s="22" t="s">
        <v>471</v>
      </c>
      <c r="E7" s="21" t="s">
        <v>361</v>
      </c>
      <c r="F7" s="21" t="s">
        <v>466</v>
      </c>
      <c r="G7" s="21" t="s">
        <v>50</v>
      </c>
    </row>
    <row r="8" spans="1:7" ht="27.75" customHeight="1" x14ac:dyDescent="0.35">
      <c r="A8" s="21" t="s">
        <v>472</v>
      </c>
      <c r="B8" s="21" t="s">
        <v>232</v>
      </c>
      <c r="C8" s="21" t="s">
        <v>464</v>
      </c>
      <c r="D8" s="22" t="s">
        <v>473</v>
      </c>
      <c r="E8" s="21" t="s">
        <v>456</v>
      </c>
      <c r="F8" s="21" t="s">
        <v>474</v>
      </c>
      <c r="G8" s="21" t="s">
        <v>51</v>
      </c>
    </row>
    <row r="9" spans="1:7" ht="27.75" customHeight="1" x14ac:dyDescent="0.35">
      <c r="A9" s="21" t="s">
        <v>475</v>
      </c>
      <c r="B9" s="21" t="s">
        <v>46</v>
      </c>
      <c r="C9" s="21" t="s">
        <v>464</v>
      </c>
      <c r="D9" s="22" t="s">
        <v>476</v>
      </c>
      <c r="E9" s="21" t="s">
        <v>456</v>
      </c>
      <c r="F9" s="21" t="s">
        <v>477</v>
      </c>
      <c r="G9" s="21" t="s">
        <v>51</v>
      </c>
    </row>
    <row r="10" spans="1:7" ht="27.75" customHeight="1" x14ac:dyDescent="0.35">
      <c r="A10" s="21" t="s">
        <v>478</v>
      </c>
      <c r="B10" s="21" t="s">
        <v>233</v>
      </c>
      <c r="C10" s="21" t="s">
        <v>479</v>
      </c>
      <c r="D10" s="22" t="s">
        <v>480</v>
      </c>
      <c r="E10" s="21" t="s">
        <v>361</v>
      </c>
      <c r="F10" s="21" t="s">
        <v>481</v>
      </c>
      <c r="G10" s="21" t="s">
        <v>50</v>
      </c>
    </row>
    <row r="11" spans="1:7" ht="27.75" customHeight="1" x14ac:dyDescent="0.35">
      <c r="A11" s="21" t="s">
        <v>482</v>
      </c>
      <c r="B11" s="21" t="s">
        <v>151</v>
      </c>
      <c r="C11" s="21" t="s">
        <v>464</v>
      </c>
      <c r="D11" s="22" t="s">
        <v>483</v>
      </c>
      <c r="E11" s="21" t="s">
        <v>376</v>
      </c>
      <c r="F11" s="21" t="s">
        <v>466</v>
      </c>
      <c r="G11" s="21" t="s">
        <v>50</v>
      </c>
    </row>
    <row r="12" spans="1:7" ht="27.75" customHeight="1" x14ac:dyDescent="0.35">
      <c r="A12" s="21" t="s">
        <v>484</v>
      </c>
      <c r="B12" s="21" t="s">
        <v>159</v>
      </c>
      <c r="C12" s="21" t="s">
        <v>485</v>
      </c>
      <c r="D12" s="22" t="s">
        <v>486</v>
      </c>
      <c r="E12" s="21" t="s">
        <v>456</v>
      </c>
      <c r="F12" s="21" t="s">
        <v>466</v>
      </c>
      <c r="G12" s="21" t="s">
        <v>51</v>
      </c>
    </row>
    <row r="13" spans="1:7" ht="27.75" customHeight="1" x14ac:dyDescent="0.35">
      <c r="A13" s="21" t="s">
        <v>487</v>
      </c>
      <c r="B13" s="21" t="s">
        <v>234</v>
      </c>
      <c r="C13" s="21" t="s">
        <v>479</v>
      </c>
      <c r="D13" s="22" t="s">
        <v>488</v>
      </c>
      <c r="E13" s="21" t="s">
        <v>456</v>
      </c>
      <c r="F13" s="21" t="s">
        <v>489</v>
      </c>
      <c r="G13" s="21" t="s">
        <v>51</v>
      </c>
    </row>
    <row r="14" spans="1:7" ht="27.75" customHeight="1" x14ac:dyDescent="0.35">
      <c r="A14" s="21" t="s">
        <v>490</v>
      </c>
      <c r="B14" s="21" t="s">
        <v>235</v>
      </c>
      <c r="C14" s="21" t="s">
        <v>485</v>
      </c>
      <c r="D14" s="22" t="s">
        <v>491</v>
      </c>
      <c r="E14" s="21" t="s">
        <v>369</v>
      </c>
      <c r="F14" s="21" t="s">
        <v>492</v>
      </c>
      <c r="G14" s="21" t="s">
        <v>51</v>
      </c>
    </row>
    <row r="15" spans="1:7" ht="27.75" customHeight="1" x14ac:dyDescent="0.35">
      <c r="A15" s="21" t="s">
        <v>493</v>
      </c>
      <c r="B15" s="21" t="s">
        <v>413</v>
      </c>
      <c r="C15" s="21" t="s">
        <v>464</v>
      </c>
      <c r="D15" s="22" t="s">
        <v>494</v>
      </c>
      <c r="E15" s="21" t="s">
        <v>369</v>
      </c>
      <c r="F15" s="21" t="s">
        <v>489</v>
      </c>
      <c r="G15" s="21" t="s">
        <v>50</v>
      </c>
    </row>
    <row r="16" spans="1:7" ht="27.75" customHeight="1" x14ac:dyDescent="0.35">
      <c r="A16" s="21" t="s">
        <v>495</v>
      </c>
      <c r="B16" s="21" t="s">
        <v>496</v>
      </c>
      <c r="C16" s="21" t="s">
        <v>464</v>
      </c>
      <c r="D16" s="22" t="s">
        <v>497</v>
      </c>
      <c r="E16" s="21" t="s">
        <v>382</v>
      </c>
      <c r="F16" s="21" t="s">
        <v>498</v>
      </c>
      <c r="G16" s="21" t="s">
        <v>51</v>
      </c>
    </row>
    <row r="17" spans="1:7" ht="27.75" customHeight="1" x14ac:dyDescent="0.35">
      <c r="A17" s="21" t="s">
        <v>499</v>
      </c>
      <c r="B17" s="21" t="s">
        <v>500</v>
      </c>
      <c r="C17" s="21" t="s">
        <v>470</v>
      </c>
      <c r="D17" s="22" t="s">
        <v>501</v>
      </c>
      <c r="E17" s="21" t="s">
        <v>361</v>
      </c>
      <c r="F17" s="21" t="s">
        <v>466</v>
      </c>
      <c r="G17" s="21" t="s">
        <v>50</v>
      </c>
    </row>
    <row r="18" spans="1:7" ht="27.75" customHeight="1" x14ac:dyDescent="0.35">
      <c r="A18" s="21" t="s">
        <v>502</v>
      </c>
      <c r="B18" s="21" t="s">
        <v>503</v>
      </c>
      <c r="C18" s="21" t="s">
        <v>464</v>
      </c>
      <c r="D18" s="22" t="s">
        <v>504</v>
      </c>
      <c r="E18" s="21" t="s">
        <v>361</v>
      </c>
      <c r="F18" s="21" t="s">
        <v>466</v>
      </c>
      <c r="G18" s="21" t="s">
        <v>51</v>
      </c>
    </row>
    <row r="19" spans="1:7" ht="27.75" customHeight="1" x14ac:dyDescent="0.35">
      <c r="A19" s="21" t="s">
        <v>505</v>
      </c>
      <c r="B19" s="21" t="s">
        <v>506</v>
      </c>
      <c r="C19" s="21" t="s">
        <v>464</v>
      </c>
      <c r="D19" s="22" t="s">
        <v>507</v>
      </c>
      <c r="E19" s="21" t="s">
        <v>508</v>
      </c>
      <c r="F19" s="21" t="s">
        <v>509</v>
      </c>
      <c r="G19" s="21" t="s">
        <v>50</v>
      </c>
    </row>
  </sheetData>
  <autoFilter ref="A4:G19" xr:uid="{00000000-0009-0000-0000-000004000000}"/>
  <mergeCells count="2">
    <mergeCell ref="A1:G1"/>
    <mergeCell ref="A2:G2"/>
  </mergeCells>
  <pageMargins left="0.4" right="0.4" top="0.5" bottom="0.5"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32"/>
  <sheetViews>
    <sheetView showGridLines="0" zoomScaleNormal="100" workbookViewId="0">
      <pane ySplit="4" topLeftCell="A5" activePane="bottomLeft" state="frozen"/>
      <selection pane="bottomLeft"/>
    </sheetView>
  </sheetViews>
  <sheetFormatPr defaultColWidth="8.6328125" defaultRowHeight="14.5" x14ac:dyDescent="0.35"/>
  <cols>
    <col min="1" max="1" width="10" customWidth="1"/>
    <col min="2" max="2" width="30" customWidth="1"/>
    <col min="3" max="3" width="11" customWidth="1"/>
    <col min="4" max="4" width="28" customWidth="1"/>
    <col min="5" max="5" width="20" customWidth="1"/>
  </cols>
  <sheetData>
    <row r="1" spans="1:5" ht="24" customHeight="1" x14ac:dyDescent="0.35">
      <c r="A1" s="2" t="s">
        <v>510</v>
      </c>
      <c r="B1" s="2"/>
      <c r="C1" s="2"/>
      <c r="D1" s="2"/>
      <c r="E1" s="2"/>
    </row>
    <row r="2" spans="1:5" ht="15.75" customHeight="1" x14ac:dyDescent="0.35">
      <c r="A2" s="1" t="s">
        <v>511</v>
      </c>
      <c r="B2" s="1"/>
      <c r="C2" s="1"/>
      <c r="D2" s="1"/>
      <c r="E2" s="1"/>
    </row>
    <row r="3" spans="1:5" ht="15" customHeight="1" x14ac:dyDescent="0.35">
      <c r="A3" s="15"/>
    </row>
    <row r="4" spans="1:5" ht="25.5" customHeight="1" x14ac:dyDescent="0.35">
      <c r="A4" s="27" t="s">
        <v>14</v>
      </c>
      <c r="B4" s="27" t="s">
        <v>15</v>
      </c>
      <c r="C4" s="27" t="s">
        <v>459</v>
      </c>
      <c r="D4" s="27" t="s">
        <v>228</v>
      </c>
      <c r="E4" s="27" t="s">
        <v>49</v>
      </c>
    </row>
    <row r="5" spans="1:5" ht="27.75" customHeight="1" x14ac:dyDescent="0.35">
      <c r="A5" s="21" t="s">
        <v>19</v>
      </c>
      <c r="B5" s="22" t="s">
        <v>512</v>
      </c>
      <c r="C5" s="21" t="s">
        <v>463</v>
      </c>
      <c r="D5" s="21" t="s">
        <v>513</v>
      </c>
      <c r="E5" s="21" t="s">
        <v>51</v>
      </c>
    </row>
    <row r="6" spans="1:5" ht="27.75" customHeight="1" x14ac:dyDescent="0.35">
      <c r="A6" s="21" t="s">
        <v>19</v>
      </c>
      <c r="B6" s="22" t="s">
        <v>512</v>
      </c>
      <c r="C6" s="21" t="s">
        <v>472</v>
      </c>
      <c r="D6" s="21" t="s">
        <v>232</v>
      </c>
      <c r="E6" s="21" t="s">
        <v>51</v>
      </c>
    </row>
    <row r="7" spans="1:5" ht="27.75" customHeight="1" x14ac:dyDescent="0.35">
      <c r="A7" s="21" t="s">
        <v>395</v>
      </c>
      <c r="B7" s="22" t="s">
        <v>397</v>
      </c>
      <c r="C7" s="21" t="s">
        <v>475</v>
      </c>
      <c r="D7" s="21" t="s">
        <v>46</v>
      </c>
      <c r="E7" s="21" t="s">
        <v>51</v>
      </c>
    </row>
    <row r="8" spans="1:5" ht="27.75" customHeight="1" x14ac:dyDescent="0.35">
      <c r="A8" s="21" t="s">
        <v>395</v>
      </c>
      <c r="B8" s="22" t="s">
        <v>397</v>
      </c>
      <c r="C8" s="21" t="s">
        <v>495</v>
      </c>
      <c r="D8" s="21" t="s">
        <v>496</v>
      </c>
      <c r="E8" s="21" t="s">
        <v>51</v>
      </c>
    </row>
    <row r="9" spans="1:5" ht="27.75" customHeight="1" x14ac:dyDescent="0.35">
      <c r="A9" s="21" t="s">
        <v>401</v>
      </c>
      <c r="B9" s="22" t="s">
        <v>514</v>
      </c>
      <c r="C9" s="21" t="s">
        <v>467</v>
      </c>
      <c r="D9" s="21" t="s">
        <v>438</v>
      </c>
      <c r="E9" s="21" t="s">
        <v>50</v>
      </c>
    </row>
    <row r="10" spans="1:5" ht="27.75" customHeight="1" x14ac:dyDescent="0.35">
      <c r="A10" s="21" t="s">
        <v>401</v>
      </c>
      <c r="B10" s="22" t="s">
        <v>514</v>
      </c>
      <c r="C10" s="21" t="s">
        <v>484</v>
      </c>
      <c r="D10" s="21" t="s">
        <v>159</v>
      </c>
      <c r="E10" s="21" t="s">
        <v>51</v>
      </c>
    </row>
    <row r="11" spans="1:5" ht="27.75" customHeight="1" x14ac:dyDescent="0.35">
      <c r="A11" s="21" t="s">
        <v>21</v>
      </c>
      <c r="B11" s="22" t="s">
        <v>407</v>
      </c>
      <c r="C11" s="21" t="s">
        <v>469</v>
      </c>
      <c r="D11" s="21" t="s">
        <v>153</v>
      </c>
      <c r="E11" s="21" t="s">
        <v>50</v>
      </c>
    </row>
    <row r="12" spans="1:5" ht="27.75" customHeight="1" x14ac:dyDescent="0.35">
      <c r="A12" s="21" t="s">
        <v>21</v>
      </c>
      <c r="B12" s="22" t="s">
        <v>407</v>
      </c>
      <c r="C12" s="21" t="s">
        <v>478</v>
      </c>
      <c r="D12" s="21" t="s">
        <v>233</v>
      </c>
      <c r="E12" s="21" t="s">
        <v>50</v>
      </c>
    </row>
    <row r="13" spans="1:5" ht="27.75" customHeight="1" x14ac:dyDescent="0.35">
      <c r="A13" s="21" t="s">
        <v>22</v>
      </c>
      <c r="B13" s="22" t="s">
        <v>515</v>
      </c>
      <c r="C13" s="21" t="s">
        <v>463</v>
      </c>
      <c r="D13" s="21" t="s">
        <v>513</v>
      </c>
      <c r="E13" s="21" t="s">
        <v>51</v>
      </c>
    </row>
    <row r="14" spans="1:5" ht="27.75" customHeight="1" x14ac:dyDescent="0.35">
      <c r="A14" s="21" t="s">
        <v>22</v>
      </c>
      <c r="B14" s="22" t="s">
        <v>515</v>
      </c>
      <c r="C14" s="21" t="s">
        <v>493</v>
      </c>
      <c r="D14" s="21" t="s">
        <v>413</v>
      </c>
      <c r="E14" s="21" t="s">
        <v>50</v>
      </c>
    </row>
    <row r="15" spans="1:5" ht="27.75" customHeight="1" x14ac:dyDescent="0.35">
      <c r="A15" s="21" t="s">
        <v>414</v>
      </c>
      <c r="B15" s="22" t="s">
        <v>416</v>
      </c>
      <c r="C15" s="21" t="s">
        <v>467</v>
      </c>
      <c r="D15" s="21" t="s">
        <v>438</v>
      </c>
      <c r="E15" s="21" t="s">
        <v>50</v>
      </c>
    </row>
    <row r="16" spans="1:5" ht="27.75" customHeight="1" x14ac:dyDescent="0.35">
      <c r="A16" s="21" t="s">
        <v>414</v>
      </c>
      <c r="B16" s="22" t="s">
        <v>416</v>
      </c>
      <c r="C16" s="21" t="s">
        <v>490</v>
      </c>
      <c r="D16" s="21" t="s">
        <v>235</v>
      </c>
      <c r="E16" s="21" t="s">
        <v>51</v>
      </c>
    </row>
    <row r="17" spans="1:5" ht="27.75" customHeight="1" x14ac:dyDescent="0.35">
      <c r="A17" s="21" t="s">
        <v>419</v>
      </c>
      <c r="B17" s="22" t="s">
        <v>516</v>
      </c>
      <c r="C17" s="21" t="s">
        <v>478</v>
      </c>
      <c r="D17" s="21" t="s">
        <v>233</v>
      </c>
      <c r="E17" s="21" t="s">
        <v>50</v>
      </c>
    </row>
    <row r="18" spans="1:5" ht="27.75" customHeight="1" x14ac:dyDescent="0.35">
      <c r="A18" s="21" t="s">
        <v>423</v>
      </c>
      <c r="B18" s="22" t="s">
        <v>425</v>
      </c>
      <c r="C18" s="21" t="s">
        <v>482</v>
      </c>
      <c r="D18" s="21" t="s">
        <v>151</v>
      </c>
      <c r="E18" s="21" t="s">
        <v>50</v>
      </c>
    </row>
    <row r="19" spans="1:5" ht="27.75" customHeight="1" x14ac:dyDescent="0.35">
      <c r="A19" s="21" t="s">
        <v>427</v>
      </c>
      <c r="B19" s="22" t="s">
        <v>517</v>
      </c>
      <c r="C19" s="21" t="s">
        <v>469</v>
      </c>
      <c r="D19" s="21" t="s">
        <v>153</v>
      </c>
      <c r="E19" s="21" t="s">
        <v>50</v>
      </c>
    </row>
    <row r="20" spans="1:5" ht="27.75" customHeight="1" x14ac:dyDescent="0.35">
      <c r="A20" s="21" t="s">
        <v>427</v>
      </c>
      <c r="B20" s="22" t="s">
        <v>517</v>
      </c>
      <c r="C20" s="21" t="s">
        <v>502</v>
      </c>
      <c r="D20" s="21" t="s">
        <v>503</v>
      </c>
      <c r="E20" s="21" t="s">
        <v>51</v>
      </c>
    </row>
    <row r="21" spans="1:5" ht="27.75" customHeight="1" x14ac:dyDescent="0.35">
      <c r="A21" s="21" t="s">
        <v>20</v>
      </c>
      <c r="B21" s="22" t="s">
        <v>518</v>
      </c>
      <c r="C21" s="21" t="s">
        <v>475</v>
      </c>
      <c r="D21" s="21" t="s">
        <v>46</v>
      </c>
      <c r="E21" s="21" t="s">
        <v>51</v>
      </c>
    </row>
    <row r="22" spans="1:5" ht="27.75" customHeight="1" x14ac:dyDescent="0.35">
      <c r="A22" s="21" t="s">
        <v>20</v>
      </c>
      <c r="B22" s="22" t="s">
        <v>518</v>
      </c>
      <c r="C22" s="21" t="s">
        <v>505</v>
      </c>
      <c r="D22" s="21" t="s">
        <v>506</v>
      </c>
      <c r="E22" s="21" t="s">
        <v>50</v>
      </c>
    </row>
    <row r="23" spans="1:5" ht="27.75" customHeight="1" x14ac:dyDescent="0.35">
      <c r="A23" s="21" t="s">
        <v>434</v>
      </c>
      <c r="B23" s="22" t="s">
        <v>519</v>
      </c>
      <c r="C23" s="21" t="s">
        <v>467</v>
      </c>
      <c r="D23" s="21" t="s">
        <v>438</v>
      </c>
      <c r="E23" s="21" t="s">
        <v>50</v>
      </c>
    </row>
    <row r="24" spans="1:5" ht="27.75" customHeight="1" x14ac:dyDescent="0.35">
      <c r="A24" s="21" t="s">
        <v>434</v>
      </c>
      <c r="B24" s="22" t="s">
        <v>519</v>
      </c>
      <c r="C24" s="21" t="s">
        <v>490</v>
      </c>
      <c r="D24" s="21" t="s">
        <v>235</v>
      </c>
      <c r="E24" s="21" t="s">
        <v>51</v>
      </c>
    </row>
    <row r="25" spans="1:5" ht="27.75" customHeight="1" x14ac:dyDescent="0.35">
      <c r="A25" s="21" t="s">
        <v>439</v>
      </c>
      <c r="B25" s="22" t="s">
        <v>520</v>
      </c>
      <c r="C25" s="21" t="s">
        <v>467</v>
      </c>
      <c r="D25" s="21" t="s">
        <v>438</v>
      </c>
      <c r="E25" s="21" t="s">
        <v>50</v>
      </c>
    </row>
    <row r="26" spans="1:5" ht="27.75" customHeight="1" x14ac:dyDescent="0.35">
      <c r="A26" s="21" t="s">
        <v>439</v>
      </c>
      <c r="B26" s="22" t="s">
        <v>520</v>
      </c>
      <c r="C26" s="21" t="s">
        <v>463</v>
      </c>
      <c r="D26" s="21" t="s">
        <v>513</v>
      </c>
      <c r="E26" s="21" t="s">
        <v>51</v>
      </c>
    </row>
    <row r="27" spans="1:5" ht="27.75" customHeight="1" x14ac:dyDescent="0.35">
      <c r="A27" s="21" t="s">
        <v>23</v>
      </c>
      <c r="B27" s="22" t="s">
        <v>521</v>
      </c>
      <c r="C27" s="21" t="s">
        <v>463</v>
      </c>
      <c r="D27" s="21" t="s">
        <v>513</v>
      </c>
      <c r="E27" s="21" t="s">
        <v>51</v>
      </c>
    </row>
    <row r="28" spans="1:5" ht="27.75" customHeight="1" x14ac:dyDescent="0.35">
      <c r="A28" s="21" t="s">
        <v>23</v>
      </c>
      <c r="B28" s="22" t="s">
        <v>521</v>
      </c>
      <c r="C28" s="21" t="s">
        <v>499</v>
      </c>
      <c r="D28" s="21" t="s">
        <v>500</v>
      </c>
      <c r="E28" s="21" t="s">
        <v>50</v>
      </c>
    </row>
    <row r="29" spans="1:5" ht="27.75" customHeight="1" x14ac:dyDescent="0.35">
      <c r="A29" s="21" t="s">
        <v>447</v>
      </c>
      <c r="B29" s="22" t="s">
        <v>522</v>
      </c>
      <c r="C29" s="21" t="s">
        <v>482</v>
      </c>
      <c r="D29" s="21" t="s">
        <v>151</v>
      </c>
      <c r="E29" s="21" t="s">
        <v>50</v>
      </c>
    </row>
    <row r="30" spans="1:5" ht="27.75" customHeight="1" x14ac:dyDescent="0.35">
      <c r="A30" s="21" t="s">
        <v>447</v>
      </c>
      <c r="B30" s="22" t="s">
        <v>522</v>
      </c>
      <c r="C30" s="21" t="s">
        <v>505</v>
      </c>
      <c r="D30" s="21" t="s">
        <v>506</v>
      </c>
      <c r="E30" s="21" t="s">
        <v>50</v>
      </c>
    </row>
    <row r="31" spans="1:5" ht="27.75" customHeight="1" x14ac:dyDescent="0.35">
      <c r="A31" s="21" t="s">
        <v>451</v>
      </c>
      <c r="B31" s="22" t="s">
        <v>523</v>
      </c>
      <c r="C31" s="21" t="s">
        <v>484</v>
      </c>
      <c r="D31" s="21" t="s">
        <v>159</v>
      </c>
      <c r="E31" s="21" t="s">
        <v>51</v>
      </c>
    </row>
    <row r="32" spans="1:5" ht="27.75" customHeight="1" x14ac:dyDescent="0.35">
      <c r="A32" s="21" t="s">
        <v>451</v>
      </c>
      <c r="B32" s="22" t="s">
        <v>523</v>
      </c>
      <c r="C32" s="21" t="s">
        <v>487</v>
      </c>
      <c r="D32" s="21" t="s">
        <v>234</v>
      </c>
      <c r="E32" s="21" t="s">
        <v>51</v>
      </c>
    </row>
  </sheetData>
  <autoFilter ref="A4:E32" xr:uid="{00000000-0009-0000-0000-000005000000}"/>
  <mergeCells count="2">
    <mergeCell ref="A1:E1"/>
    <mergeCell ref="A2:E2"/>
  </mergeCells>
  <pageMargins left="0.4" right="0.4" top="0.5" bottom="0.5"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6"/>
  <sheetViews>
    <sheetView showGridLines="0" zoomScaleNormal="100" workbookViewId="0">
      <pane ySplit="4" topLeftCell="A5" activePane="bottomLeft" state="frozen"/>
      <selection pane="bottomLeft"/>
    </sheetView>
  </sheetViews>
  <sheetFormatPr defaultColWidth="8.6328125" defaultRowHeight="14.5" x14ac:dyDescent="0.35"/>
  <cols>
    <col min="1" max="1" width="10" customWidth="1"/>
    <col min="2" max="2" width="24" customWidth="1"/>
    <col min="3" max="3" width="34" customWidth="1"/>
    <col min="4" max="4" width="20" customWidth="1"/>
    <col min="5" max="6" width="38" customWidth="1"/>
    <col min="7" max="7" width="11" customWidth="1"/>
  </cols>
  <sheetData>
    <row r="1" spans="1:7" ht="24" customHeight="1" x14ac:dyDescent="0.35">
      <c r="A1" s="2" t="s">
        <v>524</v>
      </c>
      <c r="B1" s="2"/>
      <c r="C1" s="2"/>
      <c r="D1" s="2"/>
      <c r="E1" s="2"/>
      <c r="F1" s="2"/>
      <c r="G1" s="2"/>
    </row>
    <row r="2" spans="1:7" ht="15.75" customHeight="1" x14ac:dyDescent="0.35">
      <c r="A2" s="1" t="s">
        <v>525</v>
      </c>
      <c r="B2" s="1"/>
      <c r="C2" s="1"/>
      <c r="D2" s="1"/>
      <c r="E2" s="1"/>
      <c r="F2" s="1"/>
      <c r="G2" s="1"/>
    </row>
    <row r="3" spans="1:7" ht="15" customHeight="1" x14ac:dyDescent="0.35">
      <c r="A3" s="15"/>
    </row>
    <row r="4" spans="1:7" ht="25.5" customHeight="1" x14ac:dyDescent="0.35">
      <c r="A4" s="27" t="s">
        <v>526</v>
      </c>
      <c r="B4" s="27" t="s">
        <v>527</v>
      </c>
      <c r="C4" s="27" t="s">
        <v>528</v>
      </c>
      <c r="D4" s="27" t="s">
        <v>529</v>
      </c>
      <c r="E4" s="27" t="s">
        <v>530</v>
      </c>
      <c r="F4" s="27" t="s">
        <v>531</v>
      </c>
      <c r="G4" s="27" t="s">
        <v>532</v>
      </c>
    </row>
    <row r="5" spans="1:7" ht="27.75" customHeight="1" x14ac:dyDescent="0.35">
      <c r="A5" s="21" t="s">
        <v>533</v>
      </c>
      <c r="B5" s="21" t="s">
        <v>534</v>
      </c>
      <c r="C5" s="22" t="s">
        <v>535</v>
      </c>
      <c r="D5" s="21" t="s">
        <v>50</v>
      </c>
      <c r="E5" s="22" t="s">
        <v>536</v>
      </c>
      <c r="F5" s="22" t="s">
        <v>537</v>
      </c>
      <c r="G5" s="21" t="s">
        <v>33</v>
      </c>
    </row>
    <row r="6" spans="1:7" ht="27.75" customHeight="1" x14ac:dyDescent="0.35">
      <c r="A6" s="21" t="s">
        <v>538</v>
      </c>
      <c r="B6" s="21" t="s">
        <v>539</v>
      </c>
      <c r="C6" s="22" t="s">
        <v>540</v>
      </c>
      <c r="D6" s="21" t="s">
        <v>50</v>
      </c>
      <c r="E6" s="22" t="s">
        <v>541</v>
      </c>
      <c r="F6" s="22" t="s">
        <v>542</v>
      </c>
      <c r="G6" s="21" t="s">
        <v>33</v>
      </c>
    </row>
    <row r="7" spans="1:7" ht="27.75" customHeight="1" x14ac:dyDescent="0.35">
      <c r="A7" s="21" t="s">
        <v>543</v>
      </c>
      <c r="B7" s="21" t="s">
        <v>38</v>
      </c>
      <c r="C7" s="22" t="s">
        <v>544</v>
      </c>
      <c r="D7" s="21" t="s">
        <v>51</v>
      </c>
      <c r="E7" s="22" t="s">
        <v>545</v>
      </c>
      <c r="F7" s="22" t="s">
        <v>546</v>
      </c>
      <c r="G7" s="21" t="s">
        <v>32</v>
      </c>
    </row>
    <row r="8" spans="1:7" ht="27.75" customHeight="1" x14ac:dyDescent="0.35">
      <c r="A8" s="21" t="s">
        <v>547</v>
      </c>
      <c r="B8" s="21" t="s">
        <v>548</v>
      </c>
      <c r="C8" s="22" t="s">
        <v>549</v>
      </c>
      <c r="D8" s="21" t="s">
        <v>51</v>
      </c>
      <c r="E8" s="22" t="s">
        <v>550</v>
      </c>
      <c r="F8" s="22" t="s">
        <v>551</v>
      </c>
      <c r="G8" s="21" t="s">
        <v>31</v>
      </c>
    </row>
    <row r="9" spans="1:7" ht="27.75" customHeight="1" x14ac:dyDescent="0.35">
      <c r="A9" s="21" t="s">
        <v>552</v>
      </c>
      <c r="B9" s="21" t="s">
        <v>553</v>
      </c>
      <c r="C9" s="22" t="s">
        <v>554</v>
      </c>
      <c r="D9" s="21" t="s">
        <v>51</v>
      </c>
      <c r="E9" s="22" t="s">
        <v>555</v>
      </c>
      <c r="F9" s="22" t="s">
        <v>556</v>
      </c>
      <c r="G9" s="21" t="s">
        <v>33</v>
      </c>
    </row>
    <row r="10" spans="1:7" ht="27.75" customHeight="1" x14ac:dyDescent="0.35">
      <c r="A10" s="21" t="s">
        <v>557</v>
      </c>
      <c r="B10" s="21" t="s">
        <v>46</v>
      </c>
      <c r="C10" s="22" t="s">
        <v>558</v>
      </c>
      <c r="D10" s="21" t="s">
        <v>51</v>
      </c>
      <c r="E10" s="22" t="s">
        <v>559</v>
      </c>
      <c r="F10" s="22" t="s">
        <v>560</v>
      </c>
      <c r="G10" s="21" t="s">
        <v>32</v>
      </c>
    </row>
    <row r="11" spans="1:7" ht="27.75" customHeight="1" x14ac:dyDescent="0.35">
      <c r="A11" s="21" t="s">
        <v>561</v>
      </c>
      <c r="B11" s="21" t="s">
        <v>159</v>
      </c>
      <c r="C11" s="22" t="s">
        <v>562</v>
      </c>
      <c r="D11" s="21" t="s">
        <v>51</v>
      </c>
      <c r="E11" s="22" t="s">
        <v>563</v>
      </c>
      <c r="F11" s="22" t="s">
        <v>564</v>
      </c>
      <c r="G11" s="21" t="s">
        <v>32</v>
      </c>
    </row>
    <row r="12" spans="1:7" ht="27.75" customHeight="1" x14ac:dyDescent="0.35">
      <c r="A12" s="21" t="s">
        <v>565</v>
      </c>
      <c r="B12" s="21" t="s">
        <v>47</v>
      </c>
      <c r="C12" s="22" t="s">
        <v>566</v>
      </c>
      <c r="D12" s="21" t="s">
        <v>51</v>
      </c>
      <c r="E12" s="22" t="s">
        <v>567</v>
      </c>
      <c r="F12" s="22" t="s">
        <v>568</v>
      </c>
      <c r="G12" s="21" t="s">
        <v>32</v>
      </c>
    </row>
    <row r="13" spans="1:7" ht="27.75" customHeight="1" x14ac:dyDescent="0.35">
      <c r="A13" s="21" t="s">
        <v>569</v>
      </c>
      <c r="B13" s="21" t="s">
        <v>570</v>
      </c>
      <c r="C13" s="22" t="s">
        <v>571</v>
      </c>
      <c r="D13" s="21" t="s">
        <v>50</v>
      </c>
      <c r="E13" s="22" t="s">
        <v>572</v>
      </c>
      <c r="F13" s="22" t="s">
        <v>573</v>
      </c>
      <c r="G13" s="21" t="s">
        <v>32</v>
      </c>
    </row>
    <row r="14" spans="1:7" ht="27.75" customHeight="1" x14ac:dyDescent="0.35">
      <c r="A14" s="21" t="s">
        <v>574</v>
      </c>
      <c r="B14" s="21" t="s">
        <v>575</v>
      </c>
      <c r="C14" s="22" t="s">
        <v>576</v>
      </c>
      <c r="D14" s="21" t="s">
        <v>51</v>
      </c>
      <c r="E14" s="22" t="s">
        <v>577</v>
      </c>
      <c r="F14" s="22" t="s">
        <v>578</v>
      </c>
      <c r="G14" s="21" t="s">
        <v>32</v>
      </c>
    </row>
    <row r="15" spans="1:7" ht="27.75" customHeight="1" x14ac:dyDescent="0.35">
      <c r="A15" s="21" t="s">
        <v>579</v>
      </c>
      <c r="B15" s="21" t="s">
        <v>580</v>
      </c>
      <c r="C15" s="22" t="s">
        <v>581</v>
      </c>
      <c r="D15" s="21" t="s">
        <v>51</v>
      </c>
      <c r="E15" s="22" t="s">
        <v>582</v>
      </c>
      <c r="F15" s="22" t="s">
        <v>583</v>
      </c>
      <c r="G15" s="21" t="s">
        <v>32</v>
      </c>
    </row>
    <row r="16" spans="1:7" ht="27.75" customHeight="1" x14ac:dyDescent="0.35">
      <c r="A16" s="21" t="s">
        <v>584</v>
      </c>
      <c r="B16" s="21" t="s">
        <v>506</v>
      </c>
      <c r="C16" s="22" t="s">
        <v>585</v>
      </c>
      <c r="D16" s="21" t="s">
        <v>50</v>
      </c>
      <c r="E16" s="22" t="s">
        <v>586</v>
      </c>
      <c r="F16" s="22" t="s">
        <v>587</v>
      </c>
      <c r="G16" s="21" t="s">
        <v>33</v>
      </c>
    </row>
  </sheetData>
  <autoFilter ref="A4:G16" xr:uid="{00000000-0009-0000-0000-000006000000}"/>
  <mergeCells count="2">
    <mergeCell ref="A1:G1"/>
    <mergeCell ref="A2:G2"/>
  </mergeCells>
  <conditionalFormatting sqref="G5:G16">
    <cfRule type="expression" dxfId="11" priority="2">
      <formula>EXACT($G5,"Critical")</formula>
    </cfRule>
    <cfRule type="expression" dxfId="10" priority="3">
      <formula>EXACT($G5,"High")</formula>
    </cfRule>
    <cfRule type="expression" dxfId="9" priority="4">
      <formula>EXACT($G5,"Medium")</formula>
    </cfRule>
    <cfRule type="expression" dxfId="8" priority="5">
      <formula>EXACT($G5,"Low")</formula>
    </cfRule>
  </conditionalFormatting>
  <pageMargins left="0.4" right="0.4" top="0.5" bottom="0.5"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14"/>
  <sheetViews>
    <sheetView showGridLines="0" zoomScaleNormal="100" workbookViewId="0">
      <pane ySplit="4" topLeftCell="A5" activePane="bottomLeft" state="frozen"/>
      <selection pane="bottomLeft"/>
    </sheetView>
  </sheetViews>
  <sheetFormatPr defaultColWidth="8.6328125" defaultRowHeight="14.5" x14ac:dyDescent="0.35"/>
  <cols>
    <col min="1" max="1" width="11" customWidth="1"/>
    <col min="2" max="2" width="12" customWidth="1"/>
    <col min="3" max="3" width="34" customWidth="1"/>
    <col min="4" max="4" width="42" customWidth="1"/>
    <col min="5" max="5" width="11" customWidth="1"/>
    <col min="6" max="6" width="16" customWidth="1"/>
    <col min="7" max="7" width="11" customWidth="1"/>
    <col min="8" max="8" width="13" customWidth="1"/>
  </cols>
  <sheetData>
    <row r="1" spans="1:8" ht="24" customHeight="1" x14ac:dyDescent="0.35">
      <c r="A1" s="2" t="s">
        <v>588</v>
      </c>
      <c r="B1" s="2"/>
      <c r="C1" s="2"/>
      <c r="D1" s="2"/>
      <c r="E1" s="2"/>
      <c r="F1" s="2"/>
      <c r="G1" s="2"/>
      <c r="H1" s="2"/>
    </row>
    <row r="2" spans="1:8" ht="15.75" customHeight="1" x14ac:dyDescent="0.35">
      <c r="A2" s="1" t="s">
        <v>589</v>
      </c>
      <c r="B2" s="1"/>
      <c r="C2" s="1"/>
      <c r="D2" s="1"/>
      <c r="E2" s="1"/>
      <c r="F2" s="1"/>
      <c r="G2" s="1"/>
      <c r="H2" s="1"/>
    </row>
    <row r="3" spans="1:8" ht="15" customHeight="1" x14ac:dyDescent="0.35">
      <c r="A3" s="15"/>
    </row>
    <row r="4" spans="1:8" ht="25.5" customHeight="1" x14ac:dyDescent="0.35">
      <c r="A4" s="27" t="s">
        <v>590</v>
      </c>
      <c r="B4" s="27" t="s">
        <v>591</v>
      </c>
      <c r="C4" s="27" t="s">
        <v>592</v>
      </c>
      <c r="D4" s="27" t="s">
        <v>593</v>
      </c>
      <c r="E4" s="27" t="s">
        <v>532</v>
      </c>
      <c r="F4" s="27" t="s">
        <v>343</v>
      </c>
      <c r="G4" s="27" t="s">
        <v>594</v>
      </c>
      <c r="H4" s="27" t="s">
        <v>54</v>
      </c>
    </row>
    <row r="5" spans="1:8" ht="27.75" customHeight="1" x14ac:dyDescent="0.35">
      <c r="A5" s="21" t="s">
        <v>595</v>
      </c>
      <c r="B5" s="21" t="s">
        <v>547</v>
      </c>
      <c r="C5" s="22" t="s">
        <v>596</v>
      </c>
      <c r="D5" s="22" t="s">
        <v>597</v>
      </c>
      <c r="E5" s="21" t="s">
        <v>31</v>
      </c>
      <c r="F5" s="21" t="s">
        <v>598</v>
      </c>
      <c r="G5" s="21" t="s">
        <v>599</v>
      </c>
      <c r="H5" s="21" t="s">
        <v>55</v>
      </c>
    </row>
    <row r="6" spans="1:8" ht="27.75" customHeight="1" x14ac:dyDescent="0.35">
      <c r="A6" s="21" t="s">
        <v>600</v>
      </c>
      <c r="B6" s="21" t="s">
        <v>543</v>
      </c>
      <c r="C6" s="22" t="s">
        <v>601</v>
      </c>
      <c r="D6" s="22" t="s">
        <v>602</v>
      </c>
      <c r="E6" s="21" t="s">
        <v>32</v>
      </c>
      <c r="F6" s="21" t="s">
        <v>598</v>
      </c>
      <c r="G6" s="21" t="s">
        <v>599</v>
      </c>
      <c r="H6" s="21" t="s">
        <v>56</v>
      </c>
    </row>
    <row r="7" spans="1:8" ht="27.75" customHeight="1" x14ac:dyDescent="0.35">
      <c r="A7" s="21" t="s">
        <v>603</v>
      </c>
      <c r="B7" s="21" t="s">
        <v>557</v>
      </c>
      <c r="C7" s="22" t="s">
        <v>604</v>
      </c>
      <c r="D7" s="22" t="s">
        <v>605</v>
      </c>
      <c r="E7" s="21" t="s">
        <v>32</v>
      </c>
      <c r="F7" s="21" t="s">
        <v>456</v>
      </c>
      <c r="G7" s="21" t="s">
        <v>599</v>
      </c>
      <c r="H7" s="21" t="s">
        <v>55</v>
      </c>
    </row>
    <row r="8" spans="1:8" ht="27.75" customHeight="1" x14ac:dyDescent="0.35">
      <c r="A8" s="21" t="s">
        <v>606</v>
      </c>
      <c r="B8" s="21" t="s">
        <v>561</v>
      </c>
      <c r="C8" s="22" t="s">
        <v>607</v>
      </c>
      <c r="D8" s="22" t="s">
        <v>564</v>
      </c>
      <c r="E8" s="21" t="s">
        <v>32</v>
      </c>
      <c r="F8" s="21" t="s">
        <v>456</v>
      </c>
      <c r="G8" s="21" t="s">
        <v>608</v>
      </c>
      <c r="H8" s="21" t="s">
        <v>55</v>
      </c>
    </row>
    <row r="9" spans="1:8" ht="27.75" customHeight="1" x14ac:dyDescent="0.35">
      <c r="A9" s="21" t="s">
        <v>609</v>
      </c>
      <c r="B9" s="21" t="s">
        <v>565</v>
      </c>
      <c r="C9" s="22" t="s">
        <v>610</v>
      </c>
      <c r="D9" s="22" t="s">
        <v>611</v>
      </c>
      <c r="E9" s="21" t="s">
        <v>32</v>
      </c>
      <c r="F9" s="21" t="s">
        <v>456</v>
      </c>
      <c r="G9" s="21" t="s">
        <v>608</v>
      </c>
      <c r="H9" s="21" t="s">
        <v>55</v>
      </c>
    </row>
    <row r="10" spans="1:8" ht="27.75" customHeight="1" x14ac:dyDescent="0.35">
      <c r="A10" s="21" t="s">
        <v>612</v>
      </c>
      <c r="B10" s="21" t="s">
        <v>574</v>
      </c>
      <c r="C10" s="22" t="s">
        <v>613</v>
      </c>
      <c r="D10" s="22" t="s">
        <v>614</v>
      </c>
      <c r="E10" s="21" t="s">
        <v>32</v>
      </c>
      <c r="F10" s="21" t="s">
        <v>382</v>
      </c>
      <c r="G10" s="21" t="s">
        <v>608</v>
      </c>
      <c r="H10" s="21" t="s">
        <v>55</v>
      </c>
    </row>
    <row r="11" spans="1:8" ht="27.75" customHeight="1" x14ac:dyDescent="0.35">
      <c r="A11" s="21" t="s">
        <v>615</v>
      </c>
      <c r="B11" s="21" t="s">
        <v>579</v>
      </c>
      <c r="C11" s="22" t="s">
        <v>616</v>
      </c>
      <c r="D11" s="22" t="s">
        <v>617</v>
      </c>
      <c r="E11" s="21" t="s">
        <v>32</v>
      </c>
      <c r="F11" s="21" t="s">
        <v>618</v>
      </c>
      <c r="G11" s="21" t="s">
        <v>619</v>
      </c>
      <c r="H11" s="21" t="s">
        <v>55</v>
      </c>
    </row>
    <row r="12" spans="1:8" ht="27.75" customHeight="1" x14ac:dyDescent="0.35">
      <c r="A12" s="21" t="s">
        <v>620</v>
      </c>
      <c r="B12" s="21" t="s">
        <v>569</v>
      </c>
      <c r="C12" s="22" t="s">
        <v>621</v>
      </c>
      <c r="D12" s="22" t="s">
        <v>622</v>
      </c>
      <c r="E12" s="21" t="s">
        <v>32</v>
      </c>
      <c r="F12" s="21" t="s">
        <v>618</v>
      </c>
      <c r="G12" s="21" t="s">
        <v>619</v>
      </c>
      <c r="H12" s="21" t="s">
        <v>55</v>
      </c>
    </row>
    <row r="13" spans="1:8" ht="27.75" customHeight="1" x14ac:dyDescent="0.35">
      <c r="A13" s="21" t="s">
        <v>623</v>
      </c>
      <c r="B13" s="21" t="s">
        <v>552</v>
      </c>
      <c r="C13" s="22" t="s">
        <v>624</v>
      </c>
      <c r="D13" s="22" t="s">
        <v>625</v>
      </c>
      <c r="E13" s="21" t="s">
        <v>33</v>
      </c>
      <c r="F13" s="21" t="s">
        <v>626</v>
      </c>
      <c r="G13" s="21" t="s">
        <v>627</v>
      </c>
      <c r="H13" s="21" t="s">
        <v>55</v>
      </c>
    </row>
    <row r="14" spans="1:8" ht="27.75" customHeight="1" x14ac:dyDescent="0.35">
      <c r="A14" s="21" t="s">
        <v>628</v>
      </c>
      <c r="B14" s="21" t="s">
        <v>538</v>
      </c>
      <c r="C14" s="22" t="s">
        <v>629</v>
      </c>
      <c r="D14" s="22" t="s">
        <v>630</v>
      </c>
      <c r="E14" s="21" t="s">
        <v>33</v>
      </c>
      <c r="F14" s="21" t="s">
        <v>508</v>
      </c>
      <c r="G14" s="21" t="s">
        <v>627</v>
      </c>
      <c r="H14" s="21" t="s">
        <v>55</v>
      </c>
    </row>
  </sheetData>
  <autoFilter ref="A4:H14" xr:uid="{00000000-0009-0000-0000-000007000000}"/>
  <mergeCells count="2">
    <mergeCell ref="A1:H1"/>
    <mergeCell ref="A2:H2"/>
  </mergeCells>
  <conditionalFormatting sqref="E5:E14">
    <cfRule type="expression" dxfId="7" priority="2">
      <formula>EXACT($E5,"Critical")</formula>
    </cfRule>
    <cfRule type="expression" dxfId="6" priority="3">
      <formula>EXACT($E5,"High")</formula>
    </cfRule>
    <cfRule type="expression" dxfId="5" priority="4">
      <formula>EXACT($E5,"Medium")</formula>
    </cfRule>
    <cfRule type="expression" dxfId="4" priority="5">
      <formula>EXACT($E5,"Low")</formula>
    </cfRule>
  </conditionalFormatting>
  <pageMargins left="0.4" right="0.4" top="0.5" bottom="0.5"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19"/>
  <sheetViews>
    <sheetView showGridLines="0" zoomScaleNormal="100" workbookViewId="0">
      <pane ySplit="4" topLeftCell="A5" activePane="bottomLeft" state="frozen"/>
      <selection pane="bottomLeft"/>
    </sheetView>
  </sheetViews>
  <sheetFormatPr defaultColWidth="8.6328125" defaultRowHeight="14.5" x14ac:dyDescent="0.35"/>
  <cols>
    <col min="1" max="2" width="11" customWidth="1"/>
    <col min="3" max="3" width="36" customWidth="1"/>
    <col min="4" max="4" width="20" customWidth="1"/>
    <col min="5" max="6" width="12" customWidth="1"/>
    <col min="7" max="7" width="16" customWidth="1"/>
  </cols>
  <sheetData>
    <row r="1" spans="1:7" ht="24" customHeight="1" x14ac:dyDescent="0.35">
      <c r="A1" s="2" t="s">
        <v>631</v>
      </c>
      <c r="B1" s="2"/>
      <c r="C1" s="2"/>
      <c r="D1" s="2"/>
      <c r="E1" s="2"/>
      <c r="F1" s="2"/>
      <c r="G1" s="2"/>
    </row>
    <row r="2" spans="1:7" ht="15.75" customHeight="1" x14ac:dyDescent="0.35">
      <c r="A2" s="1" t="s">
        <v>632</v>
      </c>
      <c r="B2" s="1"/>
      <c r="C2" s="1"/>
      <c r="D2" s="1"/>
      <c r="E2" s="1"/>
      <c r="F2" s="1"/>
      <c r="G2" s="1"/>
    </row>
    <row r="3" spans="1:7" ht="15" customHeight="1" x14ac:dyDescent="0.35">
      <c r="A3" s="15"/>
    </row>
    <row r="4" spans="1:7" ht="25.5" customHeight="1" x14ac:dyDescent="0.35">
      <c r="A4" s="27" t="s">
        <v>633</v>
      </c>
      <c r="B4" s="27" t="s">
        <v>459</v>
      </c>
      <c r="C4" s="27" t="s">
        <v>634</v>
      </c>
      <c r="D4" s="27" t="s">
        <v>635</v>
      </c>
      <c r="E4" s="27" t="s">
        <v>636</v>
      </c>
      <c r="F4" s="27" t="s">
        <v>54</v>
      </c>
      <c r="G4" s="27" t="s">
        <v>637</v>
      </c>
    </row>
    <row r="5" spans="1:7" ht="27.75" customHeight="1" x14ac:dyDescent="0.35">
      <c r="A5" s="21" t="s">
        <v>638</v>
      </c>
      <c r="B5" s="21" t="s">
        <v>463</v>
      </c>
      <c r="C5" s="22" t="s">
        <v>639</v>
      </c>
      <c r="D5" s="21" t="s">
        <v>640</v>
      </c>
      <c r="E5" s="21" t="s">
        <v>641</v>
      </c>
      <c r="F5" s="21" t="s">
        <v>642</v>
      </c>
      <c r="G5" s="21" t="s">
        <v>643</v>
      </c>
    </row>
    <row r="6" spans="1:7" ht="27.75" customHeight="1" x14ac:dyDescent="0.35">
      <c r="A6" s="21" t="s">
        <v>644</v>
      </c>
      <c r="B6" s="21" t="s">
        <v>467</v>
      </c>
      <c r="C6" s="22" t="s">
        <v>645</v>
      </c>
      <c r="D6" s="21" t="s">
        <v>646</v>
      </c>
      <c r="E6" s="21" t="s">
        <v>641</v>
      </c>
      <c r="F6" s="21" t="s">
        <v>642</v>
      </c>
      <c r="G6" s="21" t="s">
        <v>647</v>
      </c>
    </row>
    <row r="7" spans="1:7" ht="27.75" customHeight="1" x14ac:dyDescent="0.35">
      <c r="A7" s="21" t="s">
        <v>648</v>
      </c>
      <c r="B7" s="21" t="s">
        <v>469</v>
      </c>
      <c r="C7" s="22" t="s">
        <v>649</v>
      </c>
      <c r="D7" s="21" t="s">
        <v>650</v>
      </c>
      <c r="E7" s="21" t="s">
        <v>641</v>
      </c>
      <c r="F7" s="21" t="s">
        <v>642</v>
      </c>
      <c r="G7" s="21" t="s">
        <v>647</v>
      </c>
    </row>
    <row r="8" spans="1:7" ht="27.75" customHeight="1" x14ac:dyDescent="0.35">
      <c r="A8" s="21" t="s">
        <v>651</v>
      </c>
      <c r="B8" s="21" t="s">
        <v>472</v>
      </c>
      <c r="C8" s="22" t="s">
        <v>652</v>
      </c>
      <c r="D8" s="21" t="s">
        <v>653</v>
      </c>
      <c r="E8" s="21" t="s">
        <v>641</v>
      </c>
      <c r="F8" s="21" t="s">
        <v>642</v>
      </c>
      <c r="G8" s="21" t="s">
        <v>643</v>
      </c>
    </row>
    <row r="9" spans="1:7" ht="27.75" customHeight="1" x14ac:dyDescent="0.35">
      <c r="A9" s="21" t="s">
        <v>654</v>
      </c>
      <c r="B9" s="21" t="s">
        <v>475</v>
      </c>
      <c r="C9" s="22" t="s">
        <v>655</v>
      </c>
      <c r="D9" s="21" t="s">
        <v>656</v>
      </c>
      <c r="E9" s="21" t="s">
        <v>641</v>
      </c>
      <c r="F9" s="21" t="s">
        <v>642</v>
      </c>
      <c r="G9" s="21" t="s">
        <v>643</v>
      </c>
    </row>
    <row r="10" spans="1:7" ht="27.75" customHeight="1" x14ac:dyDescent="0.35">
      <c r="A10" s="21" t="s">
        <v>657</v>
      </c>
      <c r="B10" s="21" t="s">
        <v>478</v>
      </c>
      <c r="C10" s="22" t="s">
        <v>658</v>
      </c>
      <c r="D10" s="21" t="s">
        <v>659</v>
      </c>
      <c r="E10" s="21" t="s">
        <v>641</v>
      </c>
      <c r="F10" s="21" t="s">
        <v>642</v>
      </c>
      <c r="G10" s="21" t="s">
        <v>647</v>
      </c>
    </row>
    <row r="11" spans="1:7" ht="27.75" customHeight="1" x14ac:dyDescent="0.35">
      <c r="A11" s="21" t="s">
        <v>660</v>
      </c>
      <c r="B11" s="21" t="s">
        <v>482</v>
      </c>
      <c r="C11" s="22" t="s">
        <v>661</v>
      </c>
      <c r="D11" s="21" t="s">
        <v>646</v>
      </c>
      <c r="E11" s="21" t="s">
        <v>641</v>
      </c>
      <c r="F11" s="21" t="s">
        <v>642</v>
      </c>
      <c r="G11" s="21" t="s">
        <v>647</v>
      </c>
    </row>
    <row r="12" spans="1:7" ht="27.75" customHeight="1" x14ac:dyDescent="0.35">
      <c r="A12" s="21" t="s">
        <v>662</v>
      </c>
      <c r="B12" s="21" t="s">
        <v>484</v>
      </c>
      <c r="C12" s="22" t="s">
        <v>663</v>
      </c>
      <c r="D12" s="21" t="s">
        <v>640</v>
      </c>
      <c r="E12" s="21" t="s">
        <v>641</v>
      </c>
      <c r="F12" s="21" t="s">
        <v>642</v>
      </c>
      <c r="G12" s="21" t="s">
        <v>643</v>
      </c>
    </row>
    <row r="13" spans="1:7" ht="27.75" customHeight="1" x14ac:dyDescent="0.35">
      <c r="A13" s="21" t="s">
        <v>664</v>
      </c>
      <c r="B13" s="21" t="s">
        <v>487</v>
      </c>
      <c r="C13" s="22" t="s">
        <v>665</v>
      </c>
      <c r="D13" s="21" t="s">
        <v>666</v>
      </c>
      <c r="E13" s="21" t="s">
        <v>641</v>
      </c>
      <c r="F13" s="21" t="s">
        <v>642</v>
      </c>
      <c r="G13" s="21" t="s">
        <v>643</v>
      </c>
    </row>
    <row r="14" spans="1:7" ht="27.75" customHeight="1" x14ac:dyDescent="0.35">
      <c r="A14" s="21" t="s">
        <v>667</v>
      </c>
      <c r="B14" s="21" t="s">
        <v>490</v>
      </c>
      <c r="C14" s="22" t="s">
        <v>668</v>
      </c>
      <c r="D14" s="21" t="s">
        <v>669</v>
      </c>
      <c r="E14" s="21" t="s">
        <v>641</v>
      </c>
      <c r="F14" s="21" t="s">
        <v>670</v>
      </c>
      <c r="G14" s="21" t="s">
        <v>530</v>
      </c>
    </row>
    <row r="15" spans="1:7" ht="27.75" customHeight="1" x14ac:dyDescent="0.35">
      <c r="A15" s="21" t="s">
        <v>671</v>
      </c>
      <c r="B15" s="21" t="s">
        <v>493</v>
      </c>
      <c r="C15" s="22" t="s">
        <v>672</v>
      </c>
      <c r="D15" s="21" t="s">
        <v>666</v>
      </c>
      <c r="E15" s="21" t="s">
        <v>641</v>
      </c>
      <c r="F15" s="21" t="s">
        <v>642</v>
      </c>
      <c r="G15" s="21" t="s">
        <v>647</v>
      </c>
    </row>
    <row r="16" spans="1:7" ht="27.75" customHeight="1" x14ac:dyDescent="0.35">
      <c r="A16" s="21" t="s">
        <v>673</v>
      </c>
      <c r="B16" s="21" t="s">
        <v>495</v>
      </c>
      <c r="C16" s="22" t="s">
        <v>674</v>
      </c>
      <c r="D16" s="21" t="s">
        <v>675</v>
      </c>
      <c r="E16" s="21" t="s">
        <v>641</v>
      </c>
      <c r="F16" s="21" t="s">
        <v>642</v>
      </c>
      <c r="G16" s="21" t="s">
        <v>643</v>
      </c>
    </row>
    <row r="17" spans="1:7" ht="27.75" customHeight="1" x14ac:dyDescent="0.35">
      <c r="A17" s="21" t="s">
        <v>676</v>
      </c>
      <c r="B17" s="21" t="s">
        <v>499</v>
      </c>
      <c r="C17" s="22" t="s">
        <v>677</v>
      </c>
      <c r="D17" s="21" t="s">
        <v>646</v>
      </c>
      <c r="E17" s="21" t="s">
        <v>641</v>
      </c>
      <c r="F17" s="21" t="s">
        <v>642</v>
      </c>
      <c r="G17" s="21" t="s">
        <v>647</v>
      </c>
    </row>
    <row r="18" spans="1:7" ht="27.75" customHeight="1" x14ac:dyDescent="0.35">
      <c r="A18" s="21" t="s">
        <v>678</v>
      </c>
      <c r="B18" s="21" t="s">
        <v>502</v>
      </c>
      <c r="C18" s="22" t="s">
        <v>679</v>
      </c>
      <c r="D18" s="21" t="s">
        <v>659</v>
      </c>
      <c r="E18" s="21" t="s">
        <v>641</v>
      </c>
      <c r="F18" s="21" t="s">
        <v>642</v>
      </c>
      <c r="G18" s="21" t="s">
        <v>643</v>
      </c>
    </row>
    <row r="19" spans="1:7" ht="27.75" customHeight="1" x14ac:dyDescent="0.35">
      <c r="A19" s="21" t="s">
        <v>680</v>
      </c>
      <c r="B19" s="21" t="s">
        <v>505</v>
      </c>
      <c r="C19" s="22" t="s">
        <v>681</v>
      </c>
      <c r="D19" s="21" t="s">
        <v>682</v>
      </c>
      <c r="E19" s="21" t="s">
        <v>641</v>
      </c>
      <c r="F19" s="21" t="s">
        <v>642</v>
      </c>
      <c r="G19" s="21" t="s">
        <v>647</v>
      </c>
    </row>
  </sheetData>
  <autoFilter ref="A4:G19" xr:uid="{00000000-0009-0000-0000-000008000000}"/>
  <mergeCells count="2">
    <mergeCell ref="A1:G1"/>
    <mergeCell ref="A2:G2"/>
  </mergeCells>
  <pageMargins left="0.4" right="0.4" top="0.5" bottom="0.5"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G15"/>
  <sheetViews>
    <sheetView showGridLines="0" zoomScaleNormal="100" workbookViewId="0"/>
  </sheetViews>
  <sheetFormatPr defaultColWidth="8.6328125" defaultRowHeight="14.5" x14ac:dyDescent="0.35"/>
  <cols>
    <col min="1" max="1" width="24" customWidth="1"/>
    <col min="2" max="6" width="20" customWidth="1"/>
  </cols>
  <sheetData>
    <row r="1" spans="1:7" ht="24" customHeight="1" x14ac:dyDescent="0.35">
      <c r="A1" s="2" t="s">
        <v>683</v>
      </c>
      <c r="B1" s="2"/>
      <c r="C1" s="2"/>
      <c r="D1" s="2"/>
      <c r="E1" s="2"/>
      <c r="F1" s="2"/>
      <c r="G1" s="2"/>
    </row>
    <row r="2" spans="1:7" ht="15.75" customHeight="1" x14ac:dyDescent="0.35">
      <c r="A2" s="3" t="s">
        <v>684</v>
      </c>
      <c r="B2" s="3"/>
      <c r="C2" s="3"/>
      <c r="D2" s="3"/>
      <c r="E2" s="3"/>
      <c r="F2" s="3"/>
      <c r="G2" s="3"/>
    </row>
    <row r="3" spans="1:7" ht="15" customHeight="1" x14ac:dyDescent="0.35">
      <c r="A3" s="15"/>
    </row>
    <row r="4" spans="1:7" ht="15" customHeight="1" x14ac:dyDescent="0.35">
      <c r="A4" s="16" t="s">
        <v>685</v>
      </c>
      <c r="B4" s="14">
        <v>1</v>
      </c>
      <c r="C4" s="14">
        <v>2</v>
      </c>
      <c r="D4" s="14">
        <v>3</v>
      </c>
      <c r="E4" s="14">
        <v>4</v>
      </c>
      <c r="F4" s="14">
        <v>5</v>
      </c>
    </row>
    <row r="5" spans="1:7" ht="45.75" customHeight="1" x14ac:dyDescent="0.35">
      <c r="A5" s="17" t="s">
        <v>686</v>
      </c>
      <c r="B5" s="29" t="s">
        <v>108</v>
      </c>
      <c r="C5" s="16" t="s">
        <v>687</v>
      </c>
      <c r="D5" s="16" t="s">
        <v>688</v>
      </c>
      <c r="E5" s="30" t="s">
        <v>689</v>
      </c>
      <c r="F5" s="30" t="s">
        <v>690</v>
      </c>
    </row>
    <row r="6" spans="1:7" ht="45.75" customHeight="1" x14ac:dyDescent="0.35">
      <c r="A6" s="17" t="s">
        <v>691</v>
      </c>
      <c r="B6" s="31" t="s">
        <v>281</v>
      </c>
      <c r="C6" s="29" t="s">
        <v>117</v>
      </c>
      <c r="D6" s="16" t="s">
        <v>692</v>
      </c>
      <c r="E6" s="16" t="s">
        <v>693</v>
      </c>
      <c r="F6" s="30" t="s">
        <v>689</v>
      </c>
    </row>
    <row r="7" spans="1:7" ht="45.75" customHeight="1" x14ac:dyDescent="0.35">
      <c r="A7" s="17" t="s">
        <v>694</v>
      </c>
      <c r="B7" s="31" t="s">
        <v>105</v>
      </c>
      <c r="C7" s="29" t="s">
        <v>111</v>
      </c>
      <c r="D7" s="29" t="s">
        <v>695</v>
      </c>
      <c r="E7" s="16" t="s">
        <v>692</v>
      </c>
      <c r="F7" s="16" t="s">
        <v>688</v>
      </c>
    </row>
    <row r="8" spans="1:7" ht="45.75" customHeight="1" x14ac:dyDescent="0.35">
      <c r="A8" s="17" t="s">
        <v>696</v>
      </c>
      <c r="B8" s="31" t="s">
        <v>278</v>
      </c>
      <c r="C8" s="31" t="s">
        <v>281</v>
      </c>
      <c r="D8" s="29" t="s">
        <v>111</v>
      </c>
      <c r="E8" s="29" t="s">
        <v>117</v>
      </c>
      <c r="F8" s="16" t="s">
        <v>687</v>
      </c>
    </row>
    <row r="9" spans="1:7" ht="45.75" customHeight="1" x14ac:dyDescent="0.35">
      <c r="A9" s="17" t="s">
        <v>697</v>
      </c>
      <c r="B9" s="31" t="s">
        <v>276</v>
      </c>
      <c r="C9" s="31" t="s">
        <v>278</v>
      </c>
      <c r="D9" s="31" t="s">
        <v>105</v>
      </c>
      <c r="E9" s="31" t="s">
        <v>281</v>
      </c>
      <c r="F9" s="29" t="s">
        <v>108</v>
      </c>
    </row>
    <row r="12" spans="1:7" ht="15" customHeight="1" x14ac:dyDescent="0.35">
      <c r="A12" s="7" t="s">
        <v>698</v>
      </c>
      <c r="B12" s="7"/>
      <c r="C12" s="7"/>
      <c r="D12" s="7"/>
      <c r="E12" s="7"/>
      <c r="F12" s="7"/>
      <c r="G12" s="7"/>
    </row>
    <row r="13" spans="1:7" ht="18" customHeight="1" x14ac:dyDescent="0.35">
      <c r="A13" s="32" t="s">
        <v>699</v>
      </c>
      <c r="B13" s="14" t="s">
        <v>700</v>
      </c>
      <c r="C13" s="33" t="s">
        <v>701</v>
      </c>
      <c r="D13" s="34" t="s">
        <v>702</v>
      </c>
    </row>
    <row r="15" spans="1:7" ht="27.75" customHeight="1" x14ac:dyDescent="0.35">
      <c r="A15" s="6" t="s">
        <v>703</v>
      </c>
      <c r="B15" s="6"/>
      <c r="C15" s="6"/>
      <c r="D15" s="6"/>
      <c r="E15" s="6"/>
      <c r="F15" s="6"/>
      <c r="G15" s="6"/>
    </row>
  </sheetData>
  <mergeCells count="4">
    <mergeCell ref="A1:G1"/>
    <mergeCell ref="A2:G2"/>
    <mergeCell ref="A12:G12"/>
    <mergeCell ref="A15:G15"/>
  </mergeCells>
  <pageMargins left="0.4" right="0.4" top="0.5" bottom="0.5"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Company Profile</vt:lpstr>
      <vt:lpstr>Asset Inventory</vt:lpstr>
      <vt:lpstr>Risk Register</vt:lpstr>
      <vt:lpstr>Control Inventory</vt:lpstr>
      <vt:lpstr>Risk-Control Mapping</vt:lpstr>
      <vt:lpstr>ISO 27001 Gap Assessment</vt:lpstr>
      <vt:lpstr>Remediation Plan</vt:lpstr>
      <vt:lpstr>Evidence Register</vt:lpstr>
      <vt:lpstr>Risk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msvaishak86@gmail.com</cp:lastModifiedBy>
  <cp:revision>5</cp:revision>
  <dcterms:created xsi:type="dcterms:W3CDTF">2026-09-07T18:13:49Z</dcterms:created>
  <dcterms:modified xsi:type="dcterms:W3CDTF">2026-09-08T07:05:46Z</dcterms:modified>
  <dc:language>en-US</dc:language>
</cp:coreProperties>
</file>